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yix\OneDrive\文件\"/>
    </mc:Choice>
  </mc:AlternateContent>
  <xr:revisionPtr revIDLastSave="0" documentId="13_ncr:1_{3805909A-62AC-4E80-8721-CC1A1192000D}" xr6:coauthVersionLast="47" xr6:coauthVersionMax="47" xr10:uidLastSave="{00000000-0000-0000-0000-000000000000}"/>
  <bookViews>
    <workbookView xWindow="-120" yWindow="-120" windowWidth="20640" windowHeight="11160" firstSheet="2" activeTab="3" xr2:uid="{00000000-000D-0000-FFFF-FFFF00000000}"/>
  </bookViews>
  <sheets>
    <sheet name="RiskSerializationData" sheetId="3" state="hidden" r:id="rId1"/>
    <sheet name="rsklibSimData" sheetId="8" state="hidden" r:id="rId2"/>
    <sheet name="ArenaSimio" sheetId="9" r:id="rId3"/>
    <sheet name="ArenaSimio vs Scipy" sheetId="10" r:id="rId4"/>
  </sheets>
  <functionGroups builtInGroupCount="19"/>
  <externalReferences>
    <externalReference r:id="rId5"/>
  </externalReferences>
  <definedNames>
    <definedName name="Pal_Workbook_GUID" hidden="1">"4N6K18KYSW7RBJRPZXQAWKET"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0" l="1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2" i="9"/>
  <c r="G13" i="9" a="1"/>
  <c r="G8" i="9" a="1"/>
  <c r="G11" i="9" a="1"/>
  <c r="G12" i="9" a="1"/>
  <c r="G5" i="9" a="1"/>
  <c r="G6" i="9" a="1"/>
  <c r="G3" i="9" a="1"/>
  <c r="G9" i="9" a="1"/>
  <c r="G2" i="9" a="1"/>
  <c r="G7" i="9" a="1"/>
  <c r="G4" i="9" a="1"/>
  <c r="G14" i="9" a="1"/>
  <c r="G10" i="9" a="1"/>
  <c r="H6" i="10" a="1"/>
  <c r="H5" i="10" a="1"/>
  <c r="H10" i="10" a="1"/>
  <c r="H8" i="10" a="1"/>
  <c r="H13" i="10" a="1"/>
  <c r="H2" i="10" a="1"/>
  <c r="H11" i="10" a="1"/>
  <c r="H14" i="10" a="1"/>
  <c r="H7" i="10" a="1"/>
  <c r="H12" i="10" a="1"/>
  <c r="H3" i="10" a="1"/>
  <c r="H9" i="10" a="1"/>
  <c r="H3" i="10" l="1"/>
  <c r="H2" i="10"/>
  <c r="H9" i="10"/>
  <c r="H13" i="10"/>
  <c r="H8" i="10"/>
  <c r="H14" i="10"/>
  <c r="H10" i="10"/>
  <c r="H5" i="10"/>
  <c r="H11" i="10"/>
  <c r="H6" i="10"/>
  <c r="H12" i="10"/>
  <c r="H7" i="10"/>
  <c r="G7" i="9"/>
  <c r="G9" i="9"/>
  <c r="G6" i="9"/>
  <c r="G12" i="9"/>
  <c r="G11" i="9"/>
  <c r="G13" i="9"/>
  <c r="G14" i="9"/>
  <c r="G4" i="9"/>
  <c r="G2" i="9"/>
  <c r="G3" i="9"/>
  <c r="G5" i="9"/>
  <c r="G8" i="9"/>
  <c r="G10" i="9"/>
  <c r="B14" i="9"/>
  <c r="B13" i="9"/>
  <c r="B12" i="9"/>
  <c r="B11" i="9"/>
  <c r="B10" i="9"/>
  <c r="B9" i="9"/>
  <c r="B8" i="9"/>
  <c r="B7" i="9"/>
  <c r="B6" i="9"/>
  <c r="B5" i="9"/>
  <c r="B4" i="9"/>
  <c r="B3" i="9"/>
  <c r="AN3" i="3" l="1"/>
  <c r="AV3" i="3"/>
  <c r="AO3" i="3" l="1"/>
  <c r="A3" i="3" l="1"/>
  <c r="AG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<sst xmlns="http://schemas.openxmlformats.org/spreadsheetml/2006/main" count="203" uniqueCount="96">
  <si>
    <t>Random.Beta(alpha1, alpha2)</t>
  </si>
  <si>
    <t xml:space="preserve">Random.Erlang(mean, K) </t>
  </si>
  <si>
    <t>Random.Exponential(mean)</t>
  </si>
  <si>
    <t>Random.Gamma(shape, scale)</t>
  </si>
  <si>
    <t>Random.JohnsonSU(alpha1, alpha2, location, scale)</t>
  </si>
  <si>
    <t>Random.LogNormal(normalMean, normalStdDev)</t>
  </si>
  <si>
    <t>Simio</t>
  </si>
  <si>
    <t>Random.Normal(mean, standard deviation)</t>
  </si>
  <si>
    <t>Random.Poisson(mean)</t>
  </si>
  <si>
    <t>Random.Triangular(minimum, mode, maximum)</t>
  </si>
  <si>
    <t>Random.Uniform(minimum, maximum)</t>
  </si>
  <si>
    <t>Random.Weibull(shape, scale)</t>
  </si>
  <si>
    <t>Type</t>
  </si>
  <si>
    <t>Discrete</t>
  </si>
  <si>
    <t>Continuous</t>
  </si>
  <si>
    <r>
      <t>Random.Continuous(v</t>
    </r>
    <r>
      <rPr>
        <vertAlign val="subscript"/>
        <sz val="10"/>
        <color theme="1"/>
        <rFont val="新細明體"/>
        <family val="2"/>
        <scheme val="minor"/>
      </rPr>
      <t>1</t>
    </r>
    <r>
      <rPr>
        <sz val="10"/>
        <color theme="1"/>
        <rFont val="新細明體"/>
        <family val="2"/>
        <scheme val="minor"/>
      </rPr>
      <t>, c</t>
    </r>
    <r>
      <rPr>
        <vertAlign val="subscript"/>
        <sz val="10"/>
        <color theme="1"/>
        <rFont val="新細明體"/>
        <family val="2"/>
        <scheme val="minor"/>
      </rPr>
      <t>1</t>
    </r>
    <r>
      <rPr>
        <sz val="10"/>
        <color theme="1"/>
        <rFont val="新細明體"/>
        <family val="2"/>
        <scheme val="minor"/>
      </rPr>
      <t>, v</t>
    </r>
    <r>
      <rPr>
        <vertAlign val="subscript"/>
        <sz val="10"/>
        <color theme="1"/>
        <rFont val="新細明體"/>
        <family val="2"/>
        <scheme val="minor"/>
      </rPr>
      <t>2</t>
    </r>
    <r>
      <rPr>
        <sz val="10"/>
        <color theme="1"/>
        <rFont val="新細明體"/>
        <family val="2"/>
        <scheme val="minor"/>
      </rPr>
      <t>, c</t>
    </r>
    <r>
      <rPr>
        <vertAlign val="subscript"/>
        <sz val="10"/>
        <color theme="1"/>
        <rFont val="新細明體"/>
        <family val="2"/>
        <scheme val="minor"/>
      </rPr>
      <t>2</t>
    </r>
    <r>
      <rPr>
        <sz val="10"/>
        <color theme="1"/>
        <rFont val="新細明體"/>
        <family val="2"/>
        <scheme val="minor"/>
      </rPr>
      <t>, …. ,v</t>
    </r>
    <r>
      <rPr>
        <vertAlign val="subscript"/>
        <sz val="10"/>
        <color theme="1"/>
        <rFont val="新細明體"/>
        <family val="2"/>
        <scheme val="minor"/>
      </rPr>
      <t>N</t>
    </r>
    <r>
      <rPr>
        <sz val="10"/>
        <color theme="1"/>
        <rFont val="新細明體"/>
        <family val="2"/>
        <scheme val="minor"/>
      </rPr>
      <t>, c</t>
    </r>
    <r>
      <rPr>
        <vertAlign val="subscript"/>
        <sz val="10"/>
        <color theme="1"/>
        <rFont val="新細明體"/>
        <family val="2"/>
        <scheme val="minor"/>
      </rPr>
      <t>N</t>
    </r>
    <r>
      <rPr>
        <sz val="10"/>
        <color theme="1"/>
        <rFont val="新細明體"/>
        <family val="2"/>
        <scheme val="minor"/>
      </rPr>
      <t>)</t>
    </r>
  </si>
  <si>
    <r>
      <t>Random.Discrete(v</t>
    </r>
    <r>
      <rPr>
        <vertAlign val="subscript"/>
        <sz val="10"/>
        <color theme="1"/>
        <rFont val="新細明體"/>
        <family val="2"/>
        <scheme val="minor"/>
      </rPr>
      <t>1</t>
    </r>
    <r>
      <rPr>
        <sz val="10"/>
        <color theme="1"/>
        <rFont val="新細明體"/>
        <family val="2"/>
        <scheme val="minor"/>
      </rPr>
      <t>, c</t>
    </r>
    <r>
      <rPr>
        <vertAlign val="subscript"/>
        <sz val="10"/>
        <color theme="1"/>
        <rFont val="新細明體"/>
        <family val="2"/>
        <scheme val="minor"/>
      </rPr>
      <t>1</t>
    </r>
    <r>
      <rPr>
        <sz val="10"/>
        <color theme="1"/>
        <rFont val="新細明體"/>
        <family val="2"/>
        <scheme val="minor"/>
      </rPr>
      <t>, v</t>
    </r>
    <r>
      <rPr>
        <vertAlign val="subscript"/>
        <sz val="10"/>
        <color theme="1"/>
        <rFont val="新細明體"/>
        <family val="2"/>
        <scheme val="minor"/>
      </rPr>
      <t>2</t>
    </r>
    <r>
      <rPr>
        <sz val="10"/>
        <color theme="1"/>
        <rFont val="新細明體"/>
        <family val="2"/>
        <scheme val="minor"/>
      </rPr>
      <t>, c</t>
    </r>
    <r>
      <rPr>
        <vertAlign val="subscript"/>
        <sz val="10"/>
        <color theme="1"/>
        <rFont val="新細明體"/>
        <family val="2"/>
        <scheme val="minor"/>
      </rPr>
      <t>2</t>
    </r>
    <r>
      <rPr>
        <sz val="10"/>
        <color theme="1"/>
        <rFont val="新細明體"/>
        <family val="2"/>
        <scheme val="minor"/>
      </rPr>
      <t>, …. ,v</t>
    </r>
    <r>
      <rPr>
        <vertAlign val="subscript"/>
        <sz val="10"/>
        <color theme="1"/>
        <rFont val="新細明體"/>
        <family val="2"/>
        <scheme val="minor"/>
      </rPr>
      <t>N</t>
    </r>
    <r>
      <rPr>
        <sz val="10"/>
        <color theme="1"/>
        <rFont val="新細明體"/>
        <family val="2"/>
        <scheme val="minor"/>
      </rPr>
      <t>, c</t>
    </r>
    <r>
      <rPr>
        <vertAlign val="subscript"/>
        <sz val="10"/>
        <color theme="1"/>
        <rFont val="新細明體"/>
        <family val="2"/>
        <scheme val="minor"/>
      </rPr>
      <t>N</t>
    </r>
    <r>
      <rPr>
        <sz val="10"/>
        <color theme="1"/>
        <rFont val="新細明體"/>
        <family val="2"/>
        <scheme val="minor"/>
      </rPr>
      <t>)</t>
    </r>
  </si>
  <si>
    <t>m</t>
  </si>
  <si>
    <t>Symbol</t>
  </si>
  <si>
    <t>Refers To</t>
  </si>
  <si>
    <t>Mean</t>
  </si>
  <si>
    <t>a</t>
  </si>
  <si>
    <t>b</t>
  </si>
  <si>
    <t>s</t>
  </si>
  <si>
    <t>Standard Deviation</t>
  </si>
  <si>
    <t>Shape</t>
  </si>
  <si>
    <t>Scale</t>
  </si>
  <si>
    <t>g</t>
  </si>
  <si>
    <t>Location</t>
  </si>
  <si>
    <t>mean number of successes</t>
  </si>
  <si>
    <t>l</t>
  </si>
  <si>
    <t>continuous “success” probability</t>
  </si>
  <si>
    <t>p</t>
  </si>
  <si>
    <t>discrete “count” parameter</t>
  </si>
  <si>
    <t>n</t>
  </si>
  <si>
    <t>mean</t>
  </si>
  <si>
    <t>the number of successes        </t>
  </si>
  <si>
    <t>Conversion Required</t>
  </si>
  <si>
    <t>No</t>
  </si>
  <si>
    <t>Yes</t>
  </si>
  <si>
    <t>Simio Conversion</t>
  </si>
  <si>
    <t>9e59d3d53ab4dd9163eaa5c4fb008451_x0005__x0006_;_x0012_Â_x000F_	ð?Ö°zì*@_x0007_°zNí¶_x0008_@Ý¥.4Jþ?³2_x001B_ûi¨ð?¹§®Nê?äÚ57Þ_x0014__x0008_@(x_x0008__x0001_$ï_x0001_@ÂíýDû?ÿí¸_x0008_z_x0017__x0005_@ÉæRýë_x0004_@Ó1ó1ü?1ÉKÍX«ø?Ç`F¡Ë_x0003_@_x0005_|ç_x0010_À+!@Û5_x0019_ê+_x0005_@ºUÑ@¹1_x0004_@!ýæç_x000C_R_x0002_@_x0007__x0018_	_x0014_@_x0013_êÖ­þ_x0010_@¡HøµP~_x0011_@6òÊì?ÁáÁ"tw_x0006_@_x001E_Lï&gt;_x0011_@_x000D_&amp;_x0007__x001E_C*ü?q2ÚÍßú?ÚoBåân_x0003_@ò_x0004_Tj_x001B_(ó?¨_x001D_nK4¯_x0016_@b_x0004_Àþö?æâ_x001D_õ _x0010_î?@_x000C_a_x0003__x0007_w®5@_x000B_c]BcÚ?&gt;wí_x0016__x0011_'%@"1b4Ãç?_x0015_Û[1¿ù?Bã]M§_x001F_Ø?K6ÉgO_x001B_@&amp;Ùóõ @qÒ¤m°	@óàç¬ûl_x0008_@¨:Ùzù(@]_x0018_meÖý?¿_x000B_ pâ?/_x0006_^z @B¥µk_x0004_ñ?_x000D__x001F_·£Àÿ_x000F_@}Õþ}Ç_x0005_@¢I èÛ#@¦_¸Âüê_x0003_@T¾.(_x0002_@I_x000B_Çý¬K2@æbkÎñÚ?ÅDªÀÚ2Ù?_x000D_ÏÍ7g­?ÊÞ~nò? }_x0011_°£Ä_x000F_@_x0008__x0006_³_x0015_1_x0007_@oé_x0004_4]×?6_x001E_:×À_x0017_#@hhªµ÷?.èðØEð?ú_x0001_ô¦1_x0008__x0012_@_x0002__x0004_ÿ·áû¹_x0001_@}Vj_x001E_ _x0014_×?Ræ±ã ô?©´,(é?13-÷±í?¶þF¹6«Î?«ø]_x0001_@eb)y&amp;9ë?æÞ_x0018_m_x001C_@Ô|{o2_x000F_@öày_x0001__x0015_@¨_x0019_¦;*_x000F_@|Æ&amp;uð_x001E_ò?/\Êý]î?_x000B_rkì'[_x000E_@_x0019_ã¿_x0011_åZú?^FUÇý_x0006_I@¬û_x0011_"ø?_x0017__x0002_u_x0014_@_x0003_@ÓX÷º,¼?Fºß_x000C__x0015_¬ó?e}MÞFo*@ÿ5ÆI´_x0019_ô?8!_x0014_(-8_x000C_@_x0016_Q©ëå'@_x0003_s	?_x000B_~%@jSY¦èT"@oGñÐ2@+_x0011_¿­kà?_x000B_&amp;ìèKué?çï`6_x0013_zÿ?ª¨1_x000B__x0006__x000C_¹6	@ÁhÜ/G_x0004_@²°4ÇkÛâ? 5F'_x001E__x0013_Ò?_x0019_]h( ó?cè|'{û?êí2D&lt;'_x000D_@¾ûs_x000E__x001B__x000E__x0008_@_x0010_þ°B;ä_x001B_@iü/%0Í?_x0012_w5µ_x0001_å_x0011_@².]gP¨_x0010_@1hZ_x0004_ý?ªù§Ö ÷?n8_x000B_F_x001D_{_x0003_@Åé{òåø?å_x0006__x0013_!-3@*!£g\Ý_x0001_@«bó¶¿)@1Ð²Ùcè_x0003_@&lt;B´û?_x000B_ÿÉV_x000B_¶_x0015_@',_x0010__x0007_rÖ?!|T ëgÐ?ëæ_x000F_Øs_x0013__x0005_@j_x0011__x0015__x0004__x0016_à?_x0002_Ãûäê_x0002_@î2ü¢'r_x0017_@_x0018_ÔHË'@nR;g_x0012__x0016_@:7ZæÈìä?ôßéÔ½O_x001E_@_x0001__x0006_O_x0005_Ë_x001C_7_x0006_@xof¼ç_x0010_@XuMNù\_x000D_@]_x000E_Ò'[¤Ý?_x0012__x0008_7ôû#@Ô_x0012_jt&gt;æ?/efÎ¶ß?¹{_x0019_Àbe	@ Ýª_x0007_@¹»t÷`. @´+_x0003_»þã?1/wuü_x0018_@e_x0001_£_x001D_ý?ÇtßºË_x0011_@ÍÄE ×ã?²¬Ö_x000F_÷?_{n¦Þmã??Öä_x0015_öì?U7Ú)Ô_x0007_à?_x001F_È_x001B__x0004_Åo_x001F_@6@_x0017_&amp;~L_x0001_@Ì-_x000F_Õõ?ðà"Íá_x000F_@v~²Üá_x0016_$@)_x001C__x0004_[_x001D_åõ?áÝwp_x0002_É_x001C_@_x0013_¿EïKì?Õ-èw*ù?kfC	_x001A_"@¼÷$¶CÃí?"_x001E_3*Ù÷Ó?5w_x0002__x0008_Ê¥ÿ?]»Cª&lt;B_x0014_@mÝÕ_x0004__x0019_õ?;ö$Áe_x0001_@Ac(¦E%@Lo~éýfÂ?_x0019__x0013_-jtÃ_x001B_@_x0019__x0003_]­2@_x0019_cÔ_x000F_Ô_x001E_Ì?°])O©Åô?Ed_x0005_æË÷?ùÎp_x000D_á_x001C_ú?¦_x000D_°ùFè?ËXîÙ¶_x001E_@RGÂ_x0006_ÈD$@ÂÍ÷â_x001F__x0002_@­_x001A_xÔþ½ @Ðf_x000C__x000B_ü_x000C_@,r_x0015__x001F_+_x000C__x001A_@_x000E_UC@_x000C__x0019_	@_Ûfu¨_x0012_@wJL`´_x0004_@©_x0012_Ä_x001B_U_x0008_@_x0018_ª"òs$@O_x001D_òÏFó?\¸¡læ^õ?æéñâ´á?_x0015_I¬Ùò?²ñBõ®@á?.Dy[_x000C_Ù?a´÷{O_x000B_@"_x0019_ùÃ_x0007_8÷?_x0007_	_x001C_¹gÌÔ?_e8d_x000F_å_x0014_@=A¨w8_x0006__x001D_@ñâÆ¸®1@HÖsgø?Ã¸g_x0003__x0018_ßã?O_x000F_Þ_x0005_A&amp;@áet&gt;L^0@AR#=^ @ð×_x001F_«ÆßÏ?4Þ´£÷·_x0003_@¼ä_x000F_¸õ?z»0&lt;¦ç"@mãûs4à?_x0006_âoçZà_x0002_@OôyI"ÇÑ?ªÕÂûø_x0003_@_x0008__x0001__x0002__x0017_]ô?þÂØ&lt;_x0003__x000C_@¸_x001E__x0012_t('_x0017_@_x000D_îÆ[gï÷?¥/¿_x0010_Ò?J§*ú_x0002_@'àAÝivî?é}Ø³_x0001_ù?åÇÅ_x0007_qÄð? _x001A_¶±_x0004__x0004_@áÞtßJÒè?1$õ©Ë_x0006_@Ï_x0015_/}½_x0018__x0005_@¯7ÙÙèöÛ?mÑÃ6_x0003__x0006_ú_x0019_:@á R_x0016_æ?²Ûðj¼fô?f¬Ø_x001F_Gï?è_x001F_\_x000D_lü?aÉbwÝ¸½?ä¤H×Ôí_x0005_@'mÕS7Òé?Ã]_x0012_%)Ì_x0010_@$¤¬¶$Û_x0006_@k[ ²aaù?_x001A_0·½ðîù?O|9f½_x0013_@&gt;_x0008_!Kè­?®ezñ_x0015_Bó?¨Ë&lt;_x0007__x000E__x0003_@ÐÔÔ÷ÇÒä?l-KÖ@$@ç_x0012_Ã)Ë#@½Êè_x0010_;ÿå?ú@Xc_x000D__x000E_@5gk°Û?ôÌ¶_x000C_Ð_x0001_@Dx'DØ?4K=V_x0003_@§ÓM§4ö?_x0018_Pn11_x0016__x0002_@öµæ0Ñ?Vø¢_x0005__x0001_@ÅIö'³^þ?ûÍ_x0002_Oºù?jZ¿__x0004_*ò?_x0005__x000B_?_x0017_S®_x0006__x001D__x0001_@ÓÂºá;Ô?#¤«-Y_x0012_@øùÒx	4_x0012_@ªM_x001D_;ÿ?Väl&amp;_± @Ôòo4ú?7M_x001E_}B_x0007_@Íj²*µ}ò?(@O¤_x0010_¨_x0002_@1Ñ?_x001E_¨PÑ?Qd)F*ô?_x0004_àqaô×_x0015_@úhHJ _x0003__x0010_@äñ_x001E_&gt;¨	@cE_x0016__x0008_äù?psÌ$h&amp;@&lt;ÚÈ8_x0018_´?§_x0006_U_x001A_eß?ôìÇ¯²ö_x0018_@_x001F_Í_x0016_úI¶?Ö¤Â¯_x0017_@ts»çä©r?ï_x001A_ËNéþ?_x001C_«;ÒÂ°?l¡/uy#_x0017_@ZôDzñ_x0017_@I=3¼_x001A__x0011__x000C_@D|1¢_x000F_@¡«×_x0003_Ü±ò?¡ÑÀU?1ß_x0011__x0005__x0007_©·_x000E_@ç_x000B_ñ5Ûb_x0017_@¨­_x000C_ÒDÙ_x0007_@&gt;u_x001C_Kû_x0003_@âç1y·_x0014_@·&lt;ìi±Â_x0001_@«ÕÅ{_å?)Ó(_x0004_ü?XÕj_x0003_ê?_x001A_óT_x0011_å±ô?lt_x001C_ý×_x0018__x000B_@º_x0001__x000C_½_x0012_]$@)c_x0017_Ñßù?©¸,ÿ©û?&gt;.~öf9_x0011_@Û®ëæÑæâ?lÎ=ø?'õ?_x0010_Ð1¼_x000D_@óß_x0006_Öõ¡ú?5LXd÷G#@wv&amp;þ :÷?½fâÅg_x000D_@Õñyk-k @,	aÞ_x0003_2#@_x0002_¼uHËÄñ?_x0017_ðõÝ¯à?ïÙÙ.2_x0006_@ÊsQê9_x0002_@fÏ_x0019_´Ç_x0016_@_x0002_}a¹_x0016_í?2ÿU1ñV_x0007_@U¿Ôûbð?_x0001__x0003_Í_x0002_Æ¿rù?RÔ¬c_x0014_@ÂâZ ë+Â?à&lt;ÚØ§y_x0012_@v¶ÜEg_x0004_@rbCôÙ_x0017_@YbÀ-¿_x000C_@4_x001C_~f"@»æZÉ_x0004_ÐÉ?À×d$_x0010_@¥Ó%#\Aü?]¸_x0013_øSó?`øü±[Æ_x0010_@É1Äv|ô?M'rn_x001B_#ó?§öà#M(ñ?Õ_x001A_.zìþõ?#ØôÌI	ô?§l|òóð?íÐµ"!@­YH&gt;qh#@«Õ_x000C_Ï¸e_x0018_@_x0017_È×?ÔÜ?U¡}¬?"@#çé!_x0005_	@¶{ßeéÿ?$÷FÕ_x0011__x001D_@È^¶wÞ_x0005_@\Q}_x001E_a_x000B__x000B_@YH_x000C_«G_x0004_@x´øM¢Ï_x000F_@²d_x0011___x0002__x000F_Ý_x0019_ð?ÄÞ~ÝE_x0002__x0003_@Ê¿Ê«¥ÃÑ?+­¸ýSè_x0004_@'ÜiCê?·&amp;ùÓÙ?/#Nã_x0008_Æ?f~|_x000E__x0016_S	@FOïW_x0003_@JËGßM'@íÅôÖø"@^\_x0016_í×qä?LQG+k_x0007_@_x0017_B6j?_x001E_@ÛÊ]ZÛ_x000D__x0012_@WsIÛ¿Fí?fÛ_x001F_Þ_x000B_@~:ùÙ_x000D__x0005__x0006_@_x0005_öôEÖ&amp;@s_x0012_&amp;Ü@ß_x0002_@;LÆ±?)mÞ«õ_x0014_@ É½u§_x0014_²?ÑùAõ^¸	@rÊ¹_x001F_è_x0011_@"2Ê_x0001_,^ö?ó?:/_x0018_@Ôì_x001E_WF7_x001D_@C v¬_x0008_f_x000C_@Y47Ýë?y³CºVö?år_x0019__x000D_ÙÈ_x001C_@_x0003__x0007__aæ_x0017_ô«	@_x0002_EsÉ^fµ?ÏìÎsÚÎ_x0010_@Ç þùb_x000F_ã?ÐözµZÇÛ?å`²#4Î?&amp;ò	_x0011_6 ó?À²+ö_x0015_ô?i²Ã%@æ_x0016_@`c±Bn_x001A_@kÅð¡EL_x000D_@ôøe©ÕÙ_x0010_@Z|¨Ð~O_x0015_@÷ Ë%÷rö?_x0002_Ebø_x0003_câ?j.©Â_x001C_(@(ÂÒ9¯ð?qig6 @ÚR/Ôø_x0001_@#'É+f	@ªà¸_x0008_±	}?Ä~­_x0006_*÷?6_x0005_{é5_x000D_@ @¬¯_x0004_}_x001A_@ô%XÚ_x0015_@®_x0015_î_x000C_ó?â£Òü&amp;_x0007_@ ._x0011_Ì6eÚ?N£ü{Ëlô?&lt;_x001F__x000C_7_x000F_@õ©_x000F_)%Åó?Aí_x0006_&amp;_x0001__x0002_`¸ö?Z_x0001__U_x0007_@ç¼tÊU_x0014_@'¡Ö²c_x0012_@_x000F__x000B_jÎ§+_x0019_@È¨ûéDÉ_x0003_@õD¢å2ô?"sq®ÿIÓ?Z8MôzÒ?ëF¹Äî?¬ñ_x000E_Â#@+v-Þ_x0008_Öà?³ÿK	=ú?&gt;u_x001F_8å?1üµ¢ÅO_x0010_@!_x0003_!û_x0011_qó?ÈÒµ×Øìæ?v!N_x000D_ín?%_x0013_ë_x0015_9_x0017_â?é_x0008_)¼Ôn_x0006_@_x0017_áîwçï?_x000D_¸õeÏü?É_x0007_á&amp;&gt;ò??3FÕc_x0004_ß?ä®é_x0005_Bwï?+ÿU9Q^_x0013_@$_x0011_ÎEU_x0008__x0003_@u­Ã÷	ë?R©¼_x0002_¦\é?EëCÖ_x001A_ü?é_x0005_Ý)uCæ?ñ'úG0"@_x0002__x0004_¬b6_x001D_äò?_x001C__x000F_E¸_x000C_^_x0018_@±_x000C_û¬ß_x0008_@_x0004_]S_x000C_Îë_x001F_@m¾&amp;Ør _x0003_@us°Ûóã?_x0010_í¬_x0010_/_x0001_@òÀ-Å¡@é?|I¸Yê_x000D_@{NÏ/|*@Ø_x0010_Åg_x0017_@ØÎK#H_x0018_@ÄUÞ§U_x000F_@çåË_x000F_±¯$@Mk1ôäò_x0007_@¬_x001F_bâ ý?d_x001B_Whò?eÛ¢*3w,@_x000B_ðö	_x0008_â!@Éíl·Û_x0012_@á4ccCë?_x000B_Õ?lÁ_x0012_@½y_x000C_JÝAÞ?÷Þ&gt;ùL_x0002_@&gt;I_÷.@@OáØ³dí?¥4_x0019_¯èNQ?xÒàü?8X_x0002_ýÉÌÍ?p&gt;º~àøÝ?Õæ_x000D_ÕI=ä?Bm¿_x0003__x0006_Ê[_x0002_@_x0013_ºÍ@%_x0002_@^]¤vEt_x0001_@_x0010_)B¨Ê_x0008_@ûÎÔÝå_x0006__x0015_@b_x0002_è_x0016_á×_x001A_@_x0019_À¾_x0019__x0017_@ß¹VCä?î±Jí?_x001F__x0014_@F^þ¼.à_x0002_@p ê_x0004_§å?Dé_x001B_OL ÷?T¦¥Úÿ?6UN_x0003_Ø?NïtE¡À?:ÐhÙ_x000C_@azë÷Taá?Õé_x0016_ÙðÅÃ?í¾L^(	@Ûûé¥h¯â?_x0007_¬«É®¶?XÚ@Ê_x001E_í?b\_x0013_ú@í"@[èH_x0016_@W`Ðö Cþ?ç_x001A_ô®ÿ_x0003_@oFüÐÑqû?73·_x0002_@©{%-_x0012_æü?_x0005_¬_x0014_Bà_x0011_@±ÿ8tÀ|ü?ÙK¤52ù?_x0006__x0007_ñ¿ômèô?[).?ø?"e;±_x0007_@Ü§¸Dô ö?ÿ!Hê¢æ?h{ìoE_x0018__x001B_@_x0015_ê°x÷?Ã_x0013_*QR_x0006_@6&lt;cMW_x001D_@ÏPkôY_x0002_@_x0008_V :z!@EG_x0016_«	îé?Ù»_x0005_zo×ú?_x0019_fö¬'&amp;@	Ã²_4íÐ?_x0003_^x_óøç?,lí×¤/ç?þ~FpP_x001B__x0006_@;VVz_x0014_U @VT±&amp;Eªü?_x0002_ø,C_x0002__x0001__x001E_@7µø±Ì?+¡ow»ð_x0010_@[ÜøDY;ó?a;4ø1_x0004_@ív_ÿs_x0010_¹?Þª.!V_x000B_@}ÝIy	@|_x0019_Oñn_x0007_@È(õs¹Ú?(OcÁÊò?O_x0004__x0002__x0007__x0002_ðú?óÂJÕ`ù?ò[T#K_x000E_@²_x0003__x001C__-Ë?_x0016_´?Þ_x0019_È?ÑÅÀÐV¡_x0018_@9_x001D__x0003_GI_x0015_@û9_x0018_eþ5%@_x001F_:ÁlúÚ?·ð({ñg_x001F_@üN_x0006_ædñ?Êhfò#õ?­1XTs=ø?»Éëçz%@Hm:Îô!_x0003_@ü`±_x001A_ðð?%Æ¨a_x0004_@²2üÒ~_x0003_û?_x001E_h:+f_x0013_@b¸ó£î¸ç?0VW»åDº?&amp;FðÕ(_x000E_@LÌlë?d_ÊÉ[_x0011_@|ó_x0002_á2ùæ?&amp;ok_x0019_û!@Å1_x001F_Ã&amp;_x0008_@RÂóÙk_x0001_@:_x0014_wjÜ_x0007_@¤®ÙT5ô_x0016_@_x0019__x0007__x0005_ã.â_x0015_@áêx¤{,Õ?_x0008__x000B_2ÔÖ&amp;B &amp;@ØwY¸í_x000B_@¬ÓnG1tã?½/h_x001D_*1Ù?«õ&amp;Ì_x0011_(@ùý²Ý_x0006_ú?ÉÎ_x0006__x000D_MÄ_x0004_@ø«Ý_x0015_+ý?¦ü|ØZÖû?ÊWå0·G,@_x0013_¬Õ?T_x0016_@ì_x0003_(,-)É?6@øj¹_x0013_ @èQC%_x0001__x0014_@_x0017_vñÂÛ_x0004_@G_x0001_ÐW´?P««g_x0006__x000F_@_x0016__x0014_ÔûT¥ì?÷XÍ_x0007_³_x0005_@_x0003_áã_x0015_»Î?ôVâæ+í?	_x0002_Ã_x0007_¾ý?U=ùwN5ñ?îäOº&gt;_x001C_1@+_x0010_aß&gt;è?cÄBHA_x0005_@¿ÿE¡_x0014_@4VrIÉG-@£!_x0013_hiðË?e_x0014_tTv_x0015_ë?n_x0019_æm,~_x0005_@ÀE}w_x0001_	_x0001_¥_x0013_@ñÿùr_x000C_@ OvÈ?Ö?óË_x0002_¶õé?_x0008_3k_x0005_@{ný³B_x0014_@3&lt;.vð?ç}¨õÅgÇ?_x000F_~\_x0010_@Cmöÿâ[Ê?_x0002_ªóÂªë?_x0019_V´÷_x0012_ý?[1oêÊ,_x0005_@wàË&amp;Í-@)ó:¸ê±º?_vå²2®ã?àû¹_x0018_2k	@ÕÏpá_x001A_@_x0019_ß_ãÙP_x001D_@_x0003_¾ì&amp;°\_x0012_@Æó_x0010_ý±WÛ?_x000E_&gt;õ_x0015_.è?×ÆÒs}b?î¶ M_x0006_à?_x0019_\Vbuì_x0012_@R{~ÔÚë_x0013_@ýxÔ\_x000F_¡_x0007_@H¼®a÷¹ú?GÙ¡x¯!_x0019_@=ëÓ½õÙ_x0004_@B®i_x0016__x0016_èñ?Ý ~Ï¯_x001E_æ?_x0003__x0004_DB9U¬Þ?E´$U_x0004_ÎÕ?üTÖþ|K³?a¨iRêåï?«Å_x0008__x0008_Ï¦_x0019_@ÁÕ$dÄ_x0016_@øö3Jßû?¡ÏÌÇsÎæ?&lt;Ä_x0008_Éñ_x0015_@©_x001B_ÛÄ7_x000D__x0017_@ª¯_x001F_Ýq«%@ôoì#2	@JïôuXòý?K_x000E_¯¥¹û?ó*IÓ»_x0006_@e¸øÞí¦_x0012_@º_x001D_5 `û?¾,7gJ_x000F_@.ÔÂ{d_x0003_@;ÓØ\(õ?ö_x001E_È¡7h_x0011_@_x000D_KX_x0002_l_x0010_@¬&lt;t³Y_x0007_+@&gt;P¡{õ?¾|_x0007_S_x0018_Ïþ?¿C¨ÜAï?±G!Øó_x000F_@_x0001_´ÜKL_x0017_ì?×_x001B__x001F_°_x000E_ô_x001D_@9ÁÏÅù~×?Æ_x001A_ÂV/@Á{D_x0002__x0015_"ê?_x0010_éDª_x0016_Ä_x0013_@_x000D_Ó#Ì_x000E_@Û_x0003_ªzñ?ö'_x000B_Çg_x0018_@À_x000D__x0011_¤_x0007_q_x0008_@-_x000D__x0011_,í_x001C_@ú=Ëog7@r½:^o!@d9_x0015__ô?¢ÄrE_x001A_@÷©v_x001F_[_x0001_@øò­ËIô?®	_x0006_äuìê?¹Âe³á(_x0012_@ò_x0017_`â_x0018_Ë_x0016_@tj{J4õ?I²í_x0003_´x_x0016_@#_x001E__x0006_ïen_x0014_@+):_x0005_Øë#@ï+¥5G_x0006_@ /Ärðî$@ü;é_x000D_ÅÕ_x0011_@^n_x0004_*J0@ð­%_x0007_à_x0013_@kï_x000F_Ê5à?_x001D_úÔûÈË?}!£Y_x001A_@ºßdZu§_x000C_@XdÒ¼2ºõ?»CØB_x0019_@/H_x0005_h_x0013_@_x000E__x000F_6_x0017__x0004_n·:_x0007_@_x000D_DA¤s§_x0010_@è*qFdÖÏ?°@Ý=Æã?y^!¨_x0004_@Då*-_x001A__x000E__x0016_@øY_x001D__x0001_	É_x0014_@w_x000B_/3T&lt;!@_x001E_Ûi!öÒ?m=Ì¢rð_x0006_@¿Ã¹eæ?Ó_x0006_]_x0013_@F_x001C_@¥GHü_x0018_Í @5(ð!Ñí?ô{)_x0004_@s(k3þ?òþ¹&amp;^ç_x0001_@þ§_x0006_$4_x0010_@Ô°{EQTñ?_x0007_p05)_x0006_@°Iâç,_x0016_@ÅG=D_x0002_@Î©ßëþ_x0003_þ?âñêrÜS_x0012_@U/Ô#í·?_x0007_(ÛÄÝ?_x0004__x000C_íÇ¯&gt;_x000C_@à_x000E_G+_x0008__x000F_@ð3_x000D__x0013_Àqî?k_x0012_O_x0019__x0007_x6@M	­%ØÚ?_x0005_sRß_x0003__x0004_ð/â?T_x001E_±_x001D_Þ_x0007_@+÷@cé­ö?Ç&amp;±Ã5ü?ò{ÛÃVù.@åHÃmWû_x0017_@­_x001C_Ð)@NÙfªÂGà?_x0001_¿ýÒ¿_x0003_@ÑÚ_x0001__x0016_5Ý?_x000F__x0012_]I÷?_x0011__x0005__x0008_Ëú?%_x0013_Í_x0012_@âvd_x0018_¤!@¿_x000E_L±§jÝ?Ë_x001D_c&gt;5_x0017_@Ee*üy_x0005_@	ÄSEA_x0016_@	O²G£UØ?É¶±Á_x001D_Ï?îå\k_x000C_÷Ø?wØùà¬Ð?Öô_x001C_ß_x0013_"@Å$¡M_x0002_@È_x0005_(D¯ó?Î_x0003_|d_x0005_@'Þ_x000C_¦Ú)_x0015_@þ	_x0007_ºëõ?:T2÷Í_x001D_@[)äÃÿòá?%ä¡9_x0001_@Ù£E¼ð[_x0001_@_x000B__x000C__x0017_¡_x0004_ò?Ü5#î_x0014_û?_x0014_TD¬¬E_x0003_@R?	V_x0019_@^l&lt;zqÏ%@Ðh_x001C_S_x0010_@\Ma±+ø_x000D_@Rÿ«_x0019_+_x001E_@_x0003_]ö_¿_x0005_@0º¢nr_x0003_@±¦è_x0008_*_x0007_@²ÇÍë_x001E_ù_x001B_@_x001F_&gt;XÙíø?í_x001A_­ _x0002_¿ê?WTDµO_x0017_@ )_x0017_1_x0002_²_x0013_@"wïoà0ð?¬_x0016_òëG_x0017__x001A_@B_x001B_A_x001C_@?{×_x0013__x0013_@[D¬Èì_x0002_@bÛ§¸­v_x0005_@Øk&lt;«5'¡?¢Mß0Jý?paMì_x0016_q_x0010_@!*_x0001__x0001__x0006_@oö¿_x0011_~ÿ?oº_x000D_º_x001D_6_x001C_@_x0017_MÍÔHÌ_x000B_@¢VX_x0007__x001A_@m{"óº	_x0002_@¢ù_x0002__x000B__x000B__x0004__x0007_@ä­µ4*_x0016_÷?)¾»&gt;`_x000D_	@ÇØZÿÂ_x0014_@GRp¥`_x0005_ñ?Èv/&lt;wÖ?K3_x0010_@G´_x0001_@¹HN_x001D__x0002_@ÁµW_x0014_*«_x0006_@Óê¥&gt; @?(#qðñ?ÔZÖ_x0016_~±_x000E_@gÒ_x0006_?ì?Ó`j×M_x000C_@äå÷L?D¾?qÖä3½_x0008_@s´C[#Á?yµUe_x000D_Ýû?;Íÿ_x0012_Òó?¦èwþÈ(@YàÚá?We_x001B_&gt;6Ä?ÉÈ­Mªñ?6_x0011_.Vöªá?C_x0017_mÌ= ?ç}v¾_x0011_@_x0003_ð_x0001_³H_x0013_@ÑV7_x0019_@iÞ?b_ÎQbÔõ?êÒjâÔ	@¯ög+0Ó?r(s§&lt;&gt;Ê?_x0006__x000F_d?åo5¨_x001D_@Eh}£k_x0011_@_x001A_áú_x0008__x0005_Pü?çí3=_x000F_ëè?ØeH+^_x0010_@§*Ø_x001A_m¬í?ÿ_x0016_µin @_x0014__x001C__x0004_ç}_x0007_@f_x001A_Ý)É÷?©OO³_x000B_Gè?_x0005__x0013__x0013_¤_x000E__x0008_@´3Ó5º÷? _x000F_×_x0017_$@N	¥i)8_x000B_@e7Û#Ãý?_x001E_i\°EËì?ÿ_x0013_+méh_x0008_@ 7¿_x0001_-À_x0011_@Ç{Åg_x0007_üë?Òu_x0008_õuâ_x0003_@x@¢P_x0019_þ?z_x0011__x0018_½¡_x000B_@2Û×SÉ_x000D_@ +%V_x0007__x001E_©?{¥R£ïaý?2üI¯è+¦?¶ÂY_x001A_\fÐ?·u_x0014_Í_x0002_@_x000C_ ßë!Ç?_x001A_`6Ê®_x0006_@{w Öh¢_x000F_@²àÙ_x000B__x000C__x000B_Rò?_x0002_xLæ[ã?#&gt;l½Kõ_x000C_@àêf~v¥?m\Ê`;·?c"kUlÃÿ?S"µP*þ?_x001D_å_x0016_6UÔ?A­Ölþ_x0004_@Ù/1Â§_x001C_@;þUNý_x0002__x0011_@ì^Ì¡j_x0008_á?_x001C_½¾GÀÕô?å_x0010__x0005_£~y_x0015_@ú,Ýu_x0003_Â_x0007_@Ô4øú¿?_x0018_r:­_x0016_@_x0008_CFùwÓé?!®ßåôný?}_x0001_	ÙÄï?Ä(Õ~_x0006_ú_x0012_@Ð#0ðÛ?JÇí_x001C_ã_x0005_@_x000B_F"Ïð?_x001A__x001F_'\Êå?zbpr.Ô?~³)ûc'@Ë$°"lkò?¬ÿeÕ?W_x0008_@_x0014_÷X¥	 @·¸gì°é?Ï_x001C_öJä?_x0008_	þ«sy'_x0003_@7µo_x0007_Qu_x0018_@Ù\kú _x0011_@_x0004_ýbå?_x000C_ýãI&gt;_x0003_@ºÝpsì?A_x0004_ú_x000B_ïe_x0016_@Ò%ML¡Ìâ?§_x0016_6:_x000D_qñ?RLY_x0001_@tvöÂ1@|²eá¢¸_x001E_@¼ð_x001C_Þ_x0002_ý?eKq}_x0011_@Ñc^_x0014__x0008_0_x0011_@BV,÷~_x0006_@¨ñï_x0005_Xî?¡"½Ýàó_x0003_@êÿc]f_x001D__x0007_@nü$åpÈ?_x0008_P2_x000C_ö?_x001D__x0011_ñäüñ?Ú*X×á_x0010_@ÎVP3^_x0008_&amp;@ÆáÑÒ'¾?È_ß]ü!_x0004_@ÁIõ_x001A__x001A_Uð?BmrUÒ 	@äSÐÔúEõ?_x001C__x000D_ö§_x0003_@g_x0013_÷W~Ñ_x000B_@7_x0002__x0004_Rçó?_x0007_B_x0002_§\=Å?÷_x0002__x0017_$_x0010__x001C_@hf_x0013__x001B__x001F_'@_x0018_W&lt;Î÷=3@)_x000C_ê+_x000C_@@è·_x0007_BÑò?­»_x0016_xô_ô? \J_x001F_É-×?©tbÞ_x0011_ê?_x000B_Î6¶Ä	@Â_x000E_aå²_x0003_@_x001E__x0005_T´_x0007_@æÃ_x000D__x0010_yø?Í®©*]æ?ãéo_x0014_¿¿î?Ðõ|_x001D_óä?º	HW~Ã!@ãhÑn_x0003__x0019_@ý`úBàÂ?ÍeÂ`_x0008_@#úXJâ_x001B_@£Ú½T_x0004_P_x0006_@óÛ_x0019_põ_x0005_ @&gt;¡wü_x000B_@_x001B_&lt;YR(_x000C_õ?×D9ÄÜ?5ü2ôõï?xðËq×_x0019_@/zÓRñ_x0001_@rÿ-Î_x0005_@¢ÈônL_x0001_@_x0001_	Gk_x0014_É§#@Ó_x000C_6éÍ_x0007_@_x0014_ôõTýí?·ÜgWÐ_x0006_@_x0002__x001D_ÈX*°_x001F_@³IÀ+@a7t°¸ß?Üí©m²_x0015_@2º¤Á\+@z_x0007_&gt;}_x0006_¸Ó?ðj¢zÄ;¬?_x001C_ìMäà?áFpDñ~÷?ÄÈß¼_x0003_Û_x0014_@3à;_x0007_¹_x0001_@8´$fÆÅ_x0015_@?_x0004_O16_x0014_@þ_x0005_Í´Íã?-ÿÙ·|_x0010_@_x001B_Çü;´jþ?ëþû§t_x0002_@ãHÐ_x001E_ÁÁ_x0006_@¼¾R_x001C__x000D__x000E_@?É_x001B_}"é?Gx_x000E_ú(@I{íNÌ?rÁÉ´_x000D_@_x0008__x000F_1¡Q)@"1°ñÃ	@è®½e³_x001C__x0005_@ä®üà"ß_x0006_@nâù\_x0002_	Í_x0006_@_x000B_[÷ÌÊù?ª§ßw_x0006_è?Ò&gt;«÷_x0017_Ä_x001A_@Ïµx}_x001B_@ÝÖ}å´´ä?JQ_x001F__x0003__x001E__x001E_Ò?¨I¶á_x0004_!@õ_x0006_§ÖðÀ?_x0016_G_x000F_§_x001F_ß×?_x0007_a_x001B__x0004_U_x0003_ó?@ðÈw¬_x0008__x0013_@z=ßÝ¯_x0014_@q«_x000C_õ&gt;©ø?_x001D_ÌB_x0006__x000D__x000B_@×GØ9l_x001E_@ó«n_x001D_u_x0004_@0&amp;_x001A__x0011_@_x000B_¾à_x0003__x0005_dè?ÀI²ú%_x0019_@À_x0004_*'$_x0011_@íÚSàòÓ?_x0001_ÝA{_x0010_@¶w cS_x0016__x0018_@ð_x0012_`_x0007_K_x0007__x0015_@%|kâ?°räè_x0017__x0014_@Ò±7{_x0006_@_x0015_â_x001A_Ö6Uú?6_x0019_qûå?_x0012_ZäRk÷ù?ß_x000D_ik&gt;£Å?_x0004__x0005_ë_x001E_vg_x000F_@Ê¤_x0019_O_x000F_@é_x0019_P'È'@t/øIdÏ?_x001F_ËÁ§Õõ_x000E_@_x000E_4zü®_x001A_î?ñÏ_x001C_-nç?F_x0003_h·_x0001_@ q]Ë^!@cHgÃYºõ?0_x0016_uSC_x0013_@ËyqüÕ?¼N§ê¾¸_x0010_@/Ä¤ý?WV;Zñ_x0014_å?û·ãfýÿ?hãi+*@@£O_x0015_Ç×_x0002_@=_x0012_O¡ð_x000C_@îÆÖ)_x0004_@ñÄ¡ß»Ø?iæàµ©?m_x000C_·Â_x0016__x001F_@'Ð_x000C_°F_x0011_@é§_x000C_c°_x0012_@d_x001A_½¦j_x0013__x000F_@Ç² ü_x001B_@]ªÜî_x0019__x0013_@ûã2m¸_x001A_ø?xIgÕÎ_x0002_@MÇÀÉ¼ôô?_x001B_K?ø_x0003_	Mk_x0015_@!´»nöó?_x0002_hwõ%_x001A_ñ?é_x0013_i±ì+_x0015_@ú_x0006_@ëÄî¾?5¢Ô_x0015_¼_x001B_@_x001F_oGåqÿ?_x0010__x000F_¨&amp;gý_x0011_@N_x0010_¤flÀ"@_x000C_	Sf÷?|'Ô`ÁÓ_x000D_@79_x000F_¦"@Þ_x0019_êª¢_x001F_@Å_x0016_mÑö?_x0012_	Z_x001C_¿¯?TßÑ;H&gt;_x0008_@(v¥Pø_x0016__x0005_@KVð:_x0014_í_x0008_@L¹Ü1÷÷?¯%Ëmw_x001A__x000D_@À@ÜÇs_x001F_ï?1á/ø_x001C_ú?@GÀ$*¸_x0004_@_x001C_É=ß°_x001B_@\_x0001_tüÿ'@!¦ÿ_x000B_@Kmm_x0003_]é_x0003_@å¨t¦¤_x001C__x0016_@ªóÖ?_x0012_@þ_x000B_MAÀÒ?Â«?ªÖ?_x001B_F¶e_x0007_4%@_x0003__x0004_k5B¡Þ$@B5¶Ï¼Kÿ?_x0010_õtÀÅ¡_x0002_@~ó_x001C__x000B_Lù?iBVñ"_x0010_@&lt;ö_x001A_zÜÙè?è_x000D_X _x000C__x0001_@!ÎG*öÛÖ?øà@ÕGÎß?×zÞcÂþ?$»á8Q2@x4:_x0004_î1_x001F_@wr_x0011__x0004_§_x0007_@Þ_x0016_u_x0004_ÃÈ»?1Tþì_x000E_8ç?LïÐÌ_x001D_ä?ØQ±bÕ±_x000F_@ô$°Òcy_x001D_@aaÚ_x0016_Õ?Ù¹9äË÷_x0003_@[nõÆ×ì?Hcrö©Æ?ÚO#Ô_x0015_@Rb§EQ_x0005_@ÿZÌÈ_x0017_@%_x0005_Bÿ=_x000E_ï?rn_x001C_	0:_x0003_@!_x000B_¹_x0008_÷¢_x0001_@yçî_x0016_·ô?D!cqü?mMóãÒ_x0018_@èÕ¶_x000F__x0001__x0002_"ÿ?3%pQ$¹_x0012_@_x0015_yLÀ_x001F_÷ö?ÎÉv.¥ó?_zô¨_x0008_!@©øõHáù_x001E_@JvRyâ_x000F_@Þª{_x0017_)Í?iÈ_x000B_ÃCk_x0001_@À&amp;Yy_x0019_ò_x0011_@ÂXpSI(à?þ_x0002_ _x000F_	ÿ?ÀÑ_x001F_þ&lt;_x000B_@Îß.\6_x000D_@'.R_x0008_@¡¨_x001E_®¹ë?_x000C_ø `ë_x0004__x0008_@_x0014_grB_x0010_@Ú_x000B_OæAE	@._x0001_Û¹#$@W9È½8_x000E_@õÿïS½&gt;ß?íÕzµãÎ_x0011_@TÝø_x0001__x0005_@qÙà_x0013_ÖÊî?@ò*½/_x001B_@D_x0018__x0010_×ãÛø?ç±èGUÒ?_x001F_Ç_x0001_u_x0018__x0006_@_x000C_ù¹_x0010_Ç_x0019_@JæUâZô_x000B_@æé¾_x0002_Mê?_x0001__x0005__x0006_ÊL_x0001__x0010__x0010_@mÆ÷fVmà?éZuµÁ?_x0014_Iß_x0002_G_x0004_@ã_x0016_¿«_x0006_°_x0011_@$1=nô_x0019_@_x001A_9Äó:V_x000D_@h£Ò±(ù?m_x0018_®Òq_x000B_@_x0019_ñÆÎ¹ëö?Üx©ñà_x001E_@cE¦_x0001_@N2r_x0011__x000F_Ñ?\fñ2Í!@Bç_x0011_ôÔ¶_x0018_@_x0001_ ³F_x0005_@D_x0007_´_x0006_aø?EEØ*_x0003_@_x0013_V9$ék_x001C_@%TSnÓ_x0003_@¿)VÅïÜ÷?©_x0001_;*c_x0008__x0004_@Y® ®_x000B__x0011_@,@1=_x0019_@U#{Àû^ú?_Ìö_x000E_£Að? ÷tºCÃ?¾¥: _x0007_¤?_x0014_ð»ÇÞ9×?&lt;Å% ý	@NfCÜ_x001A_@_x0010_ÒYº_x0002__x0005_pqø?8ï63Aç?êÀÂ_x0017_;@â?_x001A_ÈbgÞ	@_x001F_¥\¶_x0008_@¥8^¾T_x0004_@Å}¡_x0011_çi¼?ïñêä,û?U7Æ%_x001A__x0017_@þ¼ý#Lû?ð_x001B_¶Ü»Â?Ó½	_x000F_5ã?¢À½b¾_x0001_@ª4QPÅ_x0013_@~¦.'Qñ?iî¸_x001B_{_x0013_@rÃ´`_x001B_@¿Ya2ÙÔ?§é_x0012__x0012_É½?Aäi³ñ?ÂSäªË~_x0003_@§U-_x001E_ú¥ð?0GìJ¸Ü @4_x0005_üéø?ä# Z@_x001E_@Sjõ_x000C_@Z¢ðá?¢@z¿¬ÿ?á¾ºv_x000E_@bó9Í_x000F_ø?Áäaøý)á?}ô	áe_x0003_@_x0005_	Ç^À8Ð?â_x0017_jññ_x000D__x000D_@©Î\Ü_x000B_ù?ã_x001E_%_x000B_1Ü? ³$Cr_x0017__x0012_@9ÊÜEÒ_x0016_ö?7$åy¹_x000B_@ôp29l_x000E_@_x0007_n_x0003_ÄÌÒ_x0013_@wzu"Y"@²_x0019_]Å_x001D_bõ?](z_x0014_1mÙ?røJÉ9Ú?^_x000D_Æø-_x0013_@Äþ=âð?iípkòêÙ?¡-§_x0002_ø- @/û_x0011_Åè?!ß_x0005_=K_x0015_Ý?ëGÖV_x001C_ò?Éï|Ih¥þ?O?qO_x0013_Mì?ì_x0001_EcøVá?_x000F_Ç_x0002__x000F_Ç_x0008_ð?*Mýx_x0004__x001B_@¨J4_x0011_ÕÄ?Ê9A+_x0008_@ñ_x0019_3NùÈ?ÞP Jz_x0014_@|Æ_x0010_!®h_x0002_@	È_x0006_Í`1_x0005_@o_x000E_	_x0014_	Ðø?¥QøþÄù?ëvâð×ç?§_x0008__x0008__x0016_1Ð_x000C_@_x0005_HR=SoÕ?|_x0014_§uÃ_x0010_@g¦w]AE_x0005_@H¥_x0007__x0007__x0001_@(_x0007_S×K_x001E_@._x0007_çõ[ñ?_x000F_U_x0010_6^æ?ÖÀúàíÿ?èÑ_x0011_Å9à_x0006_@_x0002__x000C_¶9_x001A_@5½¤ää_x0001_@Ñ/úWaJ_x0001_@&lt;ºðã{_x0012_@7úAáä»_x0003_@¡@¸pÈõ_x0005_@^v7&amp;c_x0003_@dî_x0017_Â?_x000B_@XÄ8x~!ø?23ÏdC_x0019__x0004_@_x000E_ÜÉÏ¾ýõ?`_x000C_E_x001D__x001E_yö?_x0008_ÓÛ_x0010_ãwò?¡ú_x001B_ÿ¥ö?Øoü_x0018_°_x001D__x0014_@_x0010_ÃA­jÁ_x000D_@ý_x0001_ðï'Û_x0005_@5_x0013_4cþ?°_x000B_%_x0010_@_x000C__x0013_x±_x0016_»µô?_x0015_mË,µ _x0004_@Ø~ë_x0001__x0016_Sö?ï]&gt;_x0008_¨fì?Î,NDSþ??["tg_x0001_@W¯ºÍ3 @v$g_x000B__x0010__x000F_@Ó/&amp;Ò/ý?k_x000E_!_x0001_M·_x0008_@ºOM_x0002__x000F_@à¤7ç _x0007_@_x0013_ÆÝ	ûû? 5Q¯_x0017_-ô?_x000B_ñ_x000E_á¶p_x0001_@_x0015_S_x0013_L_x001F_x_x0001_@@ÇÛrX:ò?¬;4ð_x001F__x0008_@÷j~­_x001D_@¶+U_x0001__x0006_ÿ?à6¿_x0012_ö?p_x0011_þ&gt; (ú?þ_x0004_¿ _x0002_@ÅÐ!É0G_x0008_@èFÝ®_x0001_ì_x0005_@ðk\_x000C_ó_x0005_@þIY_x000D_]å?N_x0002_»_x0005_ò_x000D_@ª8_x0007_Aãº_x0008_@mb·{Q¨_x0004_@ÖÒá_x000B_À_x0003_@ýö2j_x0001__x0007__x0014_º_x0015_@´_x000F_ehq½_x0012_@nãÆQÿ?+\Ú_x000E_+î?Þ»½_x001E__x001B_ô?Côò?=_x000E__x0003_@2¯_x000E_íÆ3_x000B_@"öÊv¢Bü?¹üà.Kç_x0005_@Ëqùþ?ÌÐ_x0006_Û1`ü?ÖËlçþ?Ò_x0017_Rf._x0016_@JÆ¶-T^ú?»_x000B_Óx^#_x0004_@¿W?_x0012_&lt;pé?ÜL_x0013_Å_x0008_ñ?_x001E_É_x001D__x0001_Ð_x0011_@R=F_x001F_c þ?Sü&amp;_x0019_ã_x0014_é?úÿ5«_x0015_d_x0016_@ÎÔe| _x0004_@RUeÖ_x0018_/_x0004_@á2bd?_x0010_@hÀ[þúqð?ÜCíÃ&amp;£ø?:©Çm_x001E_Kü?,_x001B_{Í_x0015_å÷?_x0008_Ø#ÍóÝ_x000B_@Y_x0002_¤r_x0013__x0006__x0006_@ÛK¯Â	µ_x0001_@S/Äë*O_x0010_@	_x000E__x0006_|6v÷?u_x0003__x001C_z_x000F__x0004_@zWUE^_x0008__x0004_@È%a¬Í_x0008_@Ø]þ0qü?¢6_x001B_ÕÛ¦_x0001_@ÌÊ¥Æº_x000B_û?(¨*Ñÿ?ê5Ð¯$_x0007_ö?_x000D_¹P³v¯_x001E_@Ø\ ÷ð_x000B__x0016_@mN¾?ê8_x0008_@'ÇcÛ®Ò_x0002_@o_x000C_¦§ý_x0006_@ÎÆø©pô?¿k_x000E_Tç?_x001B_9_x0001_UÓÇ_x0016_@ø¢Þ`Xá?òh_x001C_(Öi_x0001_@Ú±ÒP÷(õ?_x001E_êüÐñÌ_x0003_@£_x0016_"	æl_x0012_@Q_x000F__x0016_cÈ_x0013_@0Gq_x0005_$ÿ?õò_x001B_5QÄ_x0011_@9_x0014_P_x001B_u_x0017_@ÀJ_x000D_£Aõ?JÍìÄkó?àÏ\ýÜ_x0015_@_x000E_=ð¡¿êý?x*{öø?[N_x0004__x0005_øu_x0006_@côtcä_x0001_@²Íº_x0013__x0007__x0008_@wbü÷î_x001F__x0018_@ö&amp;Þù ù?(½ë_x000C__x0002__x0003_@zW_x000D__x0014_Qý?4¸õ¦¯_x0010_õ?Ã/²¥çø?_x001A_üM¶iw÷?¯Db_x0017__x0014_Ëë?KÔ&lt;QP@_x0018_@ø6\8Á÷?Ø2®;ó?®_ßØ^7_x0004_@þ@_x0015_ëA_x000E_@rÍúHÀ_x0004_@s[6jD_x0006_@öÛG%¤§_x0006_@ïd*w}®_x0013_@£äK_x0017_ÀF_x0015_@F_x001B_±k!_x0003_@ìÖtGV¸_x000E_@rÿ÷nmN_x0002_@ª_x000B_§_x0006__x001A_õ?_x0015_/_x0010_`Ê_x000B_@òñzÝÆØ_x000D_@l}â_x0006_X_x0007_@á÷_x001E_5þ_x0001_@9_x0008_Ûp?÷ï?ÔÅuø_x0004_@òÓ!?%ü?_x0001__x0003_´mBJÈ_x0014_@°m_x0006_°_x0002_@8T_øB_x0002_@¬Ò´Y·Ï_x0001_@\3»çC¿_x0001_@~ËÈ)íú?W	â._x0011__x000C_@_x0004_A:oXø_x0004_@îÊÚq	@R1|¸Ù÷?_x0008__x001F_èîäÈ_x0001_@¢z68+ 	@ÀÇ©_x0010_@q_x0010_ïÅÖ_x0017__x0002_@j_x0004__x0016_¦ù?«ÓÇ_x0012_¼Ó)@ê¸kÊ_û?lÃåi_x0004_@2÷	_x0011__x001F_!_x000F_@¨ó¶æå_x000F_@'¡á9_x0013_@@1iÃzÏø?	². _x000E_@Sd_x0008_Î¯æ?ÊÇ;j²_x0007_@,vëµÁº	@1=ÖÌz_x0006_@ÔåÁ,_x0004_@xß\VÛL_x000D_@ò_x000E__x000F_+(_x0008_@FV_÷?mcXÂ_x0003__x0005_¦H_x0003_@.´H{_x0007_@Ì_x001E_£p_x0006_ù?EjÉÁH1_x0010_@d_x0017_={ª¾_x0004_@¢#]S±_x0005_@ZAÂJ_x0008_@9'û_x001C_ðví?´9%»Û_x0007_÷? ´º°(ó?_x000E_?_x0007_í&gt;_x000B_@i»Õß©_x0011_@&gt;~_x0003__x0004_¬ýô?èÝö{_x0013_/_x0006_@&lt;_x000B_ã$k÷?VNrâ/¨_x0012_@Æ=Üó&lt;_x0006_@,¸µh&gt;ý?_x000C_ßª'ý?ºWÞ`éÿ?&gt;_x0006_&gt;ÛF÷?ê}0p4ÿ?Æ\'_x000D_¨_x000D_@é_x001C_cx_x0013_@ðe§»ËÝó?¤ÖGðãR_x0001_@ÖÇÄ-lú?ÍaÛ(ô_x0002_@ÖÓØi^_x0011_@´!¡éêL_x0005_@ÊS^IÑ?._x000F_8ùÇ_x0006_@_x0002__x0008_º6_x000F_zið_x0004_@pÉÍå+ù?]ÁÛE¿Y_x0012_@+µÄ¿àè?¶þ¦¶Ö:_x0002_@±_x000B_=?å¬_x0003_@1ýÓÇÔ_x0004_@vê_x001B__x000E_L®ý?¥6_x0004__x000E__x0010_@Ú_x0003__x0014_ã×û? æWzô?3*Çôö?¨V¹®þ?SHÓvÜ _x0005_@å&amp;Æ|v_x0008_@IÜ/Ñß_x0006_@;_x001B__x0018_ tM_x0004_@ö²tÁØÁ_x0010_@¸­^Éd&gt;_x0005_@S&lt;ø_x0001_@Te©ï_x0002_©_x0002_@Ü&lt;ß"gõ?J!|ñEû	@ô_x0006_¬:Èý?x!Ä_x0006__x0018_n_x000F_@¸|m¶Í÷?\Â_x0006_Z}ð_x000B_@R*l_x0001_¬Åý?#ö6_x000D_/H_x0011_@vv_x0013_Orú?2_x0007_§×&gt;_x0003_@±ý_x000D_«_x0005__x000D_'\_x000B_@¿¸±Û_x0004_@_x0012_»L_Z_x000E_@&amp;÷uô\_x000C_@ä.Î_x0012_('_x0001_@-_x0017_	_x0012_¦	@_x0016_é_x0015_Ü°þ?IÊ	&gt;ô?_x001F_íb«_x0001__x0007_@áÅ_x0015_îp^_x0008_@9+Â=õ_x0004_@Vä½Àw._x0001_@&gt;_x000B_ám¬ó?Ñ£ÜÖÚ_x0017_@¡TyK4_x0012_@Á·`|3Å_x0007_@¡çH1à?ñÉWîñ?XZ*2)Kþ?_x0013__x000E_;ìy_x000B_@úø)9$¯÷?±y`ø?Îèg_x0001_@þC._x0013__x0008_xô?ÜôljäF_x0007_@æ%k@wü?²ÐùÅ'F_x0003_@ö_x000E_!_x0001__x0007_éû?_x0003_½Lgfã_x0012_@Ê+_x001D_·_x0002__x0015_ó?Lä²Åi_x0006_@¢ÈÍ¶b_x000D_@_x0002_	'à+1_x0002_@þ_x0014_÷O¸=ö?®Æ»ÏÓñ?_x0017_y9_x0008_&gt;_x0002_@_x0016_Íò[÷?'_x001F__x0002_Öó?½_x0003__x000F_áÃ_x0008_@Ê_x001E_°òþ?ö1Yd_x0010_@®_x000D_úÍh·ü?û¿¢X_x0004_@6_x0005_»2¿Õý?²Ö&amp;¿ÃL_x000B_@¾#ÞE_x0013_ý?_x0006__x0010_o_x0002__x001D_Dý?4àÁe_x000F_3þ?êÚWu¯ô?^:ÖÞ?I5Ò_x0015_Dâ	@Ú¨âJ~&lt;÷?!_x0012_wðÑ!_x0017_@ÙË¹ª&amp;s_x000B_@&amp;/¨ºó?P_x0011_N]±`ó?_x000F_¯ÿlÒ2_x0003_@R¸ú°7_x0008_@_x0014_.,Þ÷?¤í£_x0001_äú?3&amp;}ùp»_x0007_@Ç_x0008_Á¢_x0014__x0006_@\u¢k_x0014__x0003_@_x0015_=·Ç_x000B__x000C__x0003_ _x0010_@º_x0017_ÃÍ¿cô?ÿ.yxÚÊ_x0001_@_x000B_q¡V:î_x0018_@t+×hò?eÞä_x001E_@Ä_x0008_¾Ú¸_x001F_ñ?òx&lt;¢×ö?´[Ü|è_x0007_ó?b_x0011_M.²nÿ?_x001A_p!W_x0006_@Øïpz/ã_x0011_@¶ýõ#B_x000C_@_x0006_hcÈ@_x0011_@ùä³K~_x0004__x000B_@_x000E_:§ÞË³_x0004_@îÔg©j_x0002_@Ø49é°[_x0019_@	¹§áT_x0005_@sv»°_x000C_y_x0003_@M_x0003_qè!´_x0006_@Të¦é_x0017__x000B_@à°´Ý×äõ?!N~â¦_x000B_@d,ßÆ_x0013_ù?¨G_x000D_â¢Y_x000B_@É&amp;WÏ·õ_x0007_@dÑw _x0018__x0005_@P_x000D_òCNÎõ?äÐý²H»ü?_6Qb¸r_x0008_@ónLzã?_x000B__x000C_÷GÏ¤_x0002_@_x0019_Úf_x000C_æ_x0004_@¨ÿaói¶ú?_x0003_ª6&amp;	@öcp*%_x0006_@5¢¥Þì?»µ2PÀ&lt;_x0005_@_x0006_ÛÒMnGò?{`«o5_x0006_@vòä[Yâý?rÖ_x000E_¾ê_x0002_@r¡Ô1_x0003_Q_x0012_@ä_x001D_k&amp;[_x000D_@Ü}9!4¡_x0001_@ljÒAÿ?&lt;äÖ¥		@Wðø£_x001B_@ì_x000E_Ïl¥Zò?£_x001C__x0007_J_x000B_w_x0004_@)0K¸ë_x0010_@Kwtèã÷_x0003_@Ê¯¾Wãpþ?._x0011_ò×_x0002_@á_x0008_Kñ1$_x0014_@I®]&lt;Îèí?bµ?4Z_x0003_@ò¨q¼åc_x000B_@I#òíë_x0007_@ç¬&gt;3à_x0004_@¦_x001C_µD5ù?J`BFÏL_x000B_@@_x0007_aÕ_x000D__x0010_)x_x0005_@Ý¢Ok_x001B__x0007__x0015_@dþAÌM_x0013_@ÑÃÙ_x001E_íÙ_x000D_@Â8¯E_x001C__x0019__x0006_@²MÛäþ§_x000F_@×¼ª_x000B_U¡_x0005_@·¹es;_x0003_@$ür¥_x0015_þ?-³M_x0010_l×_x0005_@ºÕ_x001C__x0010_ga_x000E_@_x001D_IÞoi_x0004_@àÎ;µ'¶_x000F_@	blÎ_x0018_@ûàã®º²_x0002_@x%ª¦ùù?ùð,lý?1_x000D_±_x0008__x000D_@f&amp;Tô?_x0012_0[Æ®Ç_x000F_@0_x0017_cÎ¡ÐÝ?7¦_x0017_®¤_x000C_@®FÀÄ2&amp;_x0013_@¢_x0008_p_x0001_ó?Z_x0017_0ÎkÓ_x0006_@å[0ö9_x0008_@j6Suõ?_x0006_xJ*_x0011__x0014_@39ÿ'§:_x0001_@½hz_x0001_,þ?{¦âÖ,°_x0001_@#_x001E_&amp;©_x0008_@_x0001_	_x0017_m_x0005_@Bo«õþ?Þá|ÿx@_x0014_@æ 4s`²_x0003_@$]Wx7¥_x001A_@à¤ºw£wú?_x0001_t~_x001A_ð_x001B_@mè¶:×_x0003__x0010_@L _x001B_@¸ø?õI_x0007_n¼Ú_x0007_@_x001B__x0018_ÕS¶_x000D_@ÚËpÁ_x0005_@a­¢'_x000B_@w_x0003_Å_x0007_ü?&gt;­Ò)ný?_x0019_6Áö	@¡r_x0002_@r,§/Ü_x0008_@¸;ëUª%_x000E_@ÄË_x0014_\ï_x0005_@_x0018__x001B_âtY_x0010__x001D_@Ê±³$Àdù?ábÚq_x0016_s_x0010_@Ä¶t&amp;¢ý_x0007_@E[­_x000B__x0018_ù_x0006_@vT².ê_x000E_@Q_x0011_jÔ¤ï_x0006_@H½ÕãO¢ý?ßÓ$!:T_x0003_@@T0óY_x000B_ú?ëDÃ_x0004_@^bé¨_x0008__x000E__x000E_ü?=k[_x0013_@À	sg5_x0007_@_x0008_Ì_x0006_k:^õ?FÓy`Ïßð?}q¸YZ_x0002_@·þ£]_x0016__x0003_@_x0011_pµÿ)_x000C_@Öuê_x001E_Sú?îòr¶m_x0001_@À5íZX_x0014__x0007_@k6_x000D_&amp;_x0004_é?Äÿ¼53?_x0004_@_x001C_LñÂä!@Ó_x0010_Í6_x001E__x0008_@¥M(raA_x000B_@	_x000B_6_x0004_o	@.__x001A_) ]	@&gt;È_x0005_ÃÉö?¤åöÚÈ_x0001_@Êx6_k_x0019_ø?Hñ×FÒ_x001B__x000D_@B_x001C_:µ_x0003_@ÌTki+ÿ?FfyØû?È_x000D_7ààD_x000F_@ÀP«§õ?8lÜì#_x0006_@´MäÇ_x000C__x001B_@9Fy÷Ãï?üõ4_x000D__x0014_@à_x001A_W4ûÿ?_x000C__x000D_èÌ&lt;%Â_x0001_@úÀ²¿]_x0001_@`tó_x0011_é¢_x000B_@_x001E_&lt;)Cc_x000B_@_x0016_tZ¡¨_x0014_@ÉE÷`_x0015_ì?÷Ã¢ñ?ÙêÊ,×C_x0014_@ÞýlÈ7_x0008_ý?­eH_x001A__x0006__x0001_@¾YÊ`_x0007_@JK,+aö?6NA§á_x0008_@w[ß_x0010_Ñ _x0003_@Çª0¼â?z\ñ_x001F_W_x0002__x0005_@ÀêÂÌù?¾_x000D_}!p_x000C_@Zðä:s_x000E_@'Ó³x_x0011_@R	Ùbå _x0001_@_x001F_?_+÷?þíÃLà_x000C_@_²±ì @n)Pló_x000C_@rZPò¨D_x0004_@Áùþg_x0002_|_x0003_@R_x0007_ýå_x0004_@Õ&gt;7:¨_x0010__x0001_@A1Y¼}_x000C_@O_x0015_!e_x0001__x0003__x0017_@_x0008_º­õ	_x000F_µÀò?2&gt;D³â£_x000C_@¢ÅëHv	ø?_x0019_g´:_x000D_@Vh¦Ó_x000B_@í_x0013_¥:cú?ôvÀ_x0002_ôRù?_x000C_.îÓð8_x0007_@Äà°+*é	@ÛMüÖü_x0001__x0013_@_x0004_hd_x001E_U_x001D__x0007_@¨ê¹_x0014_æö?Ò¯¥þíÙ?èÎh{_x001C_Ã_x0006_@tR_x0005_~Ø_x000F_@J/_x001B_Vv^_x0003_@·%JIl_x0008_@sÝ¹ìsë?¦ÌnÒ?¢ü?Ã28_x000E_)	@,à±(0ç?	_x000F_óMÚ_x000E_ò?Ø£°t=ø?_x001C__x0017__x001F__x001F_&lt;È_x0002_@ _x0014_IzSÛü?Tg_x001B_;¼_x0012_ü?&amp;	Û_x001F_ö_x001C__x0003_@¶&amp;ì_x0006__x001E_¶_x0010_@[_x0007_ÄÒï_x000F_@_x001A_âÊ_x0011_@»üí¾_x0005__x0005_@±­&amp;(-ï?_x000D__x0012_'«òJáFâ?Ï*_x0007_Bí?»Ut¨ó_x0003_@P&amp;_x001A_©£¸ð?Þ§P!²Ñ_x0019_@Äå_x0011__x0006_Õ?ã2\r]_x000D_@_x0010__x0007_0aÑ_x0007__x0006_@_x001E_¼çpo;	@T®Êfî¹_x0003_@uå_x0003_×Ôo_x0003_@ÌN,Øp$ù?fZ¹g÷3Ó?ÐL&lt;/8_x001B_@{_x0007_\×zéæ?EzçõÓ_x0007_@Ê=êÕ±µñ?sÚ3Vu_x0019_@_x001E_¿_x0017_eä?Ø}?i2ð?Ë_x000B_A/.	@ÄÊ_x0004_ },_x0011_@dà4_x0006_ï_x0002_@Zæ	ÍN_x0001_@_x001C_ßw_x0012__x0003_@k&lt;{.×°_x0005_@pð!¥_x000C__x0008_@ät	u	6ú?ìI ¬í?üÄYfw_x0004_@_x000E_KÑ6+û?L_x000F_(á_x0004__x0006_o9ü?ê'_x0010_öF_x0010_@0â³¯½(ö?Ú5À¥Üÿ?9Ö1"Ï_x0003_@««ÑMd£_x0008_@'_x001D__x000F__x001A_A_x0012_@ú$_x000C_«1ß_x0014_@n_x000D_q3_x001F__x0010_@ _x0011_Ùx:ñ?|8ÇHw_x0002_@~e5ÈRø?_x0001_Øê_x0017_À _x0012_@À¶éý_x0011_§þ?_x001F_ÐEl_x000D_N_x0005_@ê8¡$_x0002_@¦_x000D_E\~_x0010_@`|a^I¤_x0003_@§ÅxJÙ?&gt;-_x001C_Wý?&amp;Â_x0018_ÃÔ_x0003_@_x001B_ö}.ºW_x0006_@_x001A_à!%ó?Æ¬×Í_x000E_@h_x001F_EuK$û?Ô¶5n­Äü?:|_x001D_	@GÖ²_x0017__x0011__x0004_@øÊ%¡_x0015_þ_x000E_@_x0016_lF©ã?ó?&lt;tU¾¡ôÎ? ~óûe»ù?_x0006__x000B_Fâý_x000B_õ?J6¤öG	@Í¡g 	@LE&lt;h$ë?Þwì_x0004_u_x000E_@¤,TÌöÈú?oÆ'¯¿4_x0001_@¤ùjÙüý?_x0006_|¸~©ò?+W2¤_x0015_@Xo_x0008_0'_x0007_@\ÆÐX¯Û_x0003_@}Á6Fú?b8AgU_x000C_@ö|é&gt;_x000B_øü?Ö=Éò_x000B_@ÜQßé0F_x0001_@|m_x0018_Tï÷?â¥k_x000B_þ?Ó±I$_x0006_ù_x0011_@_x0018__x0017_-p³ @h®Ä	¢Ôÿ?^ï7s~/_x0005_@2ïØ¸7_x0016_@ÐÃ´KM	@o_x0013_p¯¤Ç_x0005_@`ÝüÚÙþ?Àl­¨aÜ?E:Å_x001D_s_x0013_ë?_x000E_MEâ|ñ?+nL° ç_x0002_@n¥:_x0007_	 eþ?þøÃI"_x0005_@¦_x001B_¢¨ÂÈþ?Úás}_x0001_@_x0008_òeuwñ?Ê {­_x0004_@_x001D_²°ºï_x0007_@_x0001_²Z^,P_x0006_@ckïêþ@_x001C_@x_x0001_ÿl~ö?äSq­	â_x0003_@p¡±*U_x0004_@Ø+.ÐÀ;_x0015_@_x0004__x0015__x000D_WÜT_x000F_@_x0016_£BçÜ_x0001_@¶_x0018_¸?.xû?0_0ïåú_x000D_@®ÚíÝ¶ü? ,HâÚü?¸.B_x0015_Ì&gt;_x000C_@ì¸_x000C_+_x000F_ð?B(Y^Cj	@²_x0001_l»K&lt;ð?S«½3_x0002_@¬¯_x0001_MWý?Ê_x001B__x001C_Ã×_x001C_@Úy °©_x0005_@¾t/zpHõ?Â®_x001A_ëÂ_x000B_@_x0014_ªQ`_x0015_Kô?NA4¯ãô?_x0010_D_x000B_®¶_x000C_@_x0007_	°5Pð_x0015__x0002_@´zZæÊïó?}xñ_x001E__x000D__x0005_@&lt;*ôbJö?¬óJô_x0013_@váT_x0018_r[_x0006_@XÎ7Ö3÷_x0008_@~s\3_x000C_@_x000E_§¦_x001C_Â_x0003_@jÙ ôGY_x0008_@§çÂTù_x0013__x0012_@ÞÐý¡{ú?Þ_x0001_g_x0007_@?¦1§F_x0014__x0001_@A¶¯ýwãé?_x001E_"ðl¶¦_x0002_@M¶[E`u_x0007_@v_x0016_TûÂÝ_x000F_@T+Ê_x0006_eû?(µ³_x0002_iUû?Q_x001D__x0018_w c_x0001_@Ñy~~}_x0011__x0007_@ß´_x0001__x0004_@_x001B_²û×Ö_x0010_@Ýývõ÷_x0015_@_x001F__x0006_½|ï?t{_x001A__x001A_j&lt;þ?n¾_x000F_åa_x0005_@2£³V"@]_x0004_îi.ÿ_x0003_@8_x0001_;¡àú?.Ë^Ê_x0010__x0012_\Ù_x000E_@_x0003_Ôp_x000F__x0012_@ÄìiYTü?_x0007_ö@NÚ_x0007_@íÐ_x001A_ß	@åÏ_x0008_ìÄê?_x0007__x0001_ð_x0004_@l)²é0¬û?ñ çG_x0018_9_x0004_@¿ÆyÕð?_x0014_!ú®_x0011_@cÇ-ëø?+Ò Woý_x000B_@ò@õDëü?_x0007_	C_x000F_d_x0002_@¬C¾pø?jTS«Û?4øZKÔG_x000C_@à/&amp;XÉ_x001F__x0003_@xÿN64_x000F_@_x0016_µH^bÊû?5.ÐÍ_x0001_è?Ûx_x001E_òg_x0007__x0019_@ÆyÂ¬_x0003__x000D_@S_x001F_ÜÃÄaá?WyfÂó,_x0005_@xNJÿ¤_x0012_ò?Yé¡Æÿ(@%_x0018_ïx~_x0001_	@Ë_x001F_Ápì?ZlÝªb_x0015_@ÞþÆD,_x0006_þ?_x0001__x000C__x0018_ã_x0018_é_x001C_Dû?£Îë_x0011__x0011_@Ý¾{FÚ$@© Ä	_x000E_@_x0019__x0017_R-_x0001_@%³Ù¹ç_x001C__x0008_@Ä^h:_x0004__x000B_@Jy2ÏþO_x0001_@ß?_x0002_@ªdqÎ_x0018_ù?ÃÁ¿ë_x0003_@mí PÏþ?R3µõ{_x000D_@UN_x0017_¼ÿì?Wpä?5"ØáÕ_x0004_@Z^¿-mSÿ?{_x0001_wÿ?_x001C_Ãâ,d_x0014_@øQN­¹þ?¼ÝyU+_x0005_@_x0007_C'_x0003_sè?K_x0018_í30þ_x0002_@8¿ÁýG±	@Ï£ÈÚ_x0010_@_x0012_°@s_x000D__x0007_@_x0008_n,	@e_x000F_Ï_x0011_Oóä?¢Ëåá_x0006_©÷?D=µâ¨ñ?À_x0001_ó¹_x0013_ø?_x001D_Å;®_x0008_	ø+_x0012_@Å/4Ã¦º_x0002_@_x0003_ñ_x0001_gÉå_x0019_@$lIgc_x001A_û?oL6Ù3*	@AËÈ?qs_x0007_@zo_x001C_#=Õ_x0012_@_x000B_KDë\¼_x0011_@,H-êÍô?_x000C_#¸þì_x000D_@,h§_x0012_Ê_x0016_@$_x0019_?h¬ü?ý­ýhÑ	@9õª]¸Ê_x0007_@d+ÜêWø?vè"ì¨Ù_x001A_@Äx_x0014_ÃKæò?íVÓ9_x0010_,ì?_x0004_1Ï(ö?:0ÇÞo_x0005_@_x000D_2SËï?â3ªR_x0012_J_x0003_@ª)A½!âõ?$KVE$àù?ïôÒ_x000F_ÌÖ?é£¬²yg#@-Öäì_x0008_@:­^"ï_x0018_ý? _x000C_³_x001F_l½_x0006_@_x0019_4_x0005_M_x000D_j_x0007_@P@id&amp;¢_x0006_@'_x0013__x0010_Ø}_x0008_@_x0003__x0010_P3Þ¸¸_x0001_@B|_x0010_ÏÜÿ?"ãV÷w_x0008_@ot`Æ_x000F__x000B_@t0P_x0019_Öø?µOä^®î?U_x0006_æÐ_x001F__x0004_@iSýùTp_x0002_@2øv¯ûÂõ?_x0011_ò¶ìÐZ	@ÎAÛf¼\_x0007_@ _x000F_c'j_x0008_@S×Wn_x0011__x0003_@	_x001D_ø_x0011__x000C__x000F__x0002_@ô_x001F_5=¤±ò?_x0006_Ï,Ö_x000C_@_x0018_åÖ_x0015_(ü?x+o_x000D_³ð?L³_x0002_á_x0002_@¤ÍN`¤_x0007_@©!ðÍ?_x0010_@Þññ_x0005_A_x0002_@B1úËø_x000C_@%_x0002_E=ÆÏî?"&gt;º0ó?¸ªìûµþú?f_x0001_ô_x0012_O_x000E_@_x001D_Ó_x0013_!To_x000C_@ú`âBÙ²ø?"(øÐVKó?_x000E_Yi+?ñ?v©S©_x0003__x0006__x000E__x001B__x000B_@Á)ôé¯4@ Xó_x000F_ÿ_x0003_@¶l*yû)_x000D_@ð_x0013__ö_x001D_Áà?µ%ùDã_x000C_@½;â	_x0005_@E'_x0001_/Ó_x0008_@ýÓ2¡ã?_x001A_8mÒ.H_x0002_@&amp;Cb_x000D_p_x0004__x0010_@dN|¿_x000D_	_x0001_@+\-_x001F_ó_x0019_ä?þ:ñ÷9ø?ùµÝ"CÂ_x0013_@@W!ý¡_x0003_@¶GN®_x0004__x000F_@`Óé_x0018_Õ_x0008__x0015_@Ø.R&gt;_x0007__x0006_@$ørx}_x0002_@z&amp;üûÉû_x0010_@_x0013_¦_x0017_Ï7Bï?©ÖÔÒo_x0018_@À0Í0_x0016_c_x000D_@3ø±¡¡:ê?µõ_x0002_©_x001B_²ç?s_ÚêQ¦ë?_x0017_Lqbv¿å?§±Ì]$@¨;_ÀÒù?Àá_x000D_®Ðùð?_x0003_°¶:ê0@_x0004__x000F__x000C_B&amp;o_x001F_Òú?9+§×Öò?®_x0011_ýèò?ó_x0017_)L]è?Í¡¢1Ü±_x0004_@_x001B_Ûÿó?^_x0006__x001D_Äé½_x0001_@g_x000C__x0014_­*â_x0007_@6b1*_x0003_@º£$»o_x0011_@¡b§Iò³_x0017_@Êå¹l_x0005_²_x000B_@î©2b_x000E_W_x0002_@è¥¡?4 ÷?FFÁ±èý?Î¹¥ò}ø?0M&gt;ÏX´ö?_x0015__x0014_´_x000D_ù î?Ðb,§ò_x0001_@ãlå¯îû?tj°-Nöø?"ûÖþ+Éÿ?3/+.Ñ0_x000F_@_x0019__x000B_î_x0008_@!èµ÷3_x0017_@_x0003_PëOñ	@èlÊ«Ìf_x0006_@J	çëÍ·õ?0ÁÕ_x001E_Ç?Oñ#5_x0011_@_x0016_¡&gt;ý½_x000F_@Ê¦DÕ	_x000B_~Ú_x000D_@5;Û_x001B_#_x0007_@]EÀ¾_x0017_É_x001F_@à%Å0öû?sræ_x0004__x0007_@zÓúL5Ýô?"&amp;Ñ¿MÜñ?ñWþÍ_x0004_@\l +{	@"_x0005_ðZø?qÖs©Ýý_x0005_@9ß»ïâª_x0001_@_x001D__x001A_;rg_x000C_@é¾ò¨E_x0019_ê?íÍwk_x0003_@.¸ËægÛû?võuäìÄû?àEo8:_x0002_@àTÉ__x001C_ú?ÇÈ÷ê_x0006_@¢0ö?_x0008_!8ÁÐÂ_x000C_@_x0014_æq_x0014__x0010_ÿ?_x000C_¨º&lt;0õ?ñ°UUL_x0007_@Ô\EhV_x0013_Ã?áF_x001A_CÎ_x0005_@ÚyOÜxù?Nm_x0001_oÏ7_x000E_@_Yï@ á	@²Bæ1S!"@èR$2×_x0013_@_x0001__x0004__x0006_Wj_x000E_ö&lt;_x0006_@(|gG'æ	@»rÍI){î?x%R9·ÿ?:_x001A_ÞÕX#_x0001_@rÓ/£×°_x0004_@­_x001B_D¾_x0002_@'¾¤h]_x0005_@íÝýÿ_x0006__x0012_@N3¹Êù?õ_x001F_ßÎê%@*[_x0001_½Á_x0019_÷?jEßlÙ_x0006_@|ß_x0019_&lt;_x0014_ô?Ìa6ë:_x0004_@R·Ë.é_x0014_@¢ögu_x0003__x000F__x000D_@_x0008_G_x0010_pQóú?½Ô-$3ê?Âß]¡ ÿ?¬¦ÕÃ§»_x0005_@,þ_x0003_"4_x001F__x0002_@@ÏF	^-ò?«E?dÎß_x0010_@_x0012_&amp;·ý?_x0002_P¸áÒý?rèü¨ú?_x0008_4'_x001C_Zÿ?tÆÎIù?DñÂ^ð?_x001C__x000B_:pù«_x0007_@_x0002_×OR_x0005__x0007_Åòô?46sPÞ¥û?ªÅeÇ_x0006_@Ý®Y3P^_x0002_@¿Iö_x0016_7Æ	@X áÍl¦_x0013_@ã5%I2?_x0001_@i¿óûÝ_x0002_@ 3_x001E_ÞOGÿ?_x0013_ú_x0001_ük_x0011_@B?_x001C_Dî®ù?¹_x0017_4_x0015_tÍ_x0001_@$_x0013_?M~_x000D_@²#fN#_x0002_÷?Æ]_x0012__x0001_cA_x0005_@~Pq±xÐ_x0005_@ß6x_x0006__x000C_@"¡°_x0001_`ºû?]w^ ü_x0007_@_x0015_ h¦ Ô	@ÎäWÂëå? -c_x000E_e&amp;»?Ð_x0003_xÕÖ_x0001_@äS¡e2òù?CÇ$®ë_x0001_@ÎçÈæ"_x000B_ã?&lt;áéÊ,_x0003_@x_x0016_ú£Ì_x0016_@¤\w]_x0004_@_x001A_ÍEX_x0010_@áïCK_x0008_ï?ìÓ|íQ#!@_x0008__x000E_¤BÏî_x001E_=û?\($áªÿ?.'­JÃvð?¡!'À¾Ê_x0002_@¸Íi_x001B_º¿¶þ©+¡_ù?Ùy²º_x0014__x000C_@ý_x000C_Òi_x001C__x0001_@Ð_x0003_®Âýð?c_x0018_ªR×_x0007__x0002_@q'´æwk_x0002_@ë_x000D_¯	@¬`§_x0017_@ëã_x0015_pø_x0004__x0002_@ñ¢_x000B_¸_x0011_	@ü°_x001B_Þ_x0001_@bª_x000D_ï5k_x0005_@_x0019_ÜNm÷_x0012_@J+èßoçß?_x0014_¶ò_x000F__x000D_ú?Á¼ÏÆþ_x0010_@3_x0001_Á_x001E__x0013_@ÒN»)_x0002_@È#¹&amp;_x0012_@ãªC!_x0011_@¢¯ö?KÚ_x0007__x0010_@Í ²­_x0004_@_x0002__x0008__x0008__x0008__x0005__x0008__x0008__x0008_Book1_x0001__x0008__x0008__x0008__x0006__x0008__x0008__x0008_Sheet1_x0008__x0002__x0005__x0002__x0002__x0002__x001F__x0002__x0002__x0002_MASTER Scanner  01.07.2015.xlsx_x0007__x0002__x0002__x0002__x0005__x0002__x0002__x0002_Scan Queue_x0002__x0002__x0002__x0002__x0007__x0002__x0002__x0002_Scanner_x0002__x0002__x0002__x0002_	_x0002__x0002__x0002_DELAY LOG_x0002__x0002__x0002__x0002__x0003__x0002__x0002__x0002_ALL_x0002__x0002__x0002__x0002__x0007__x0002__x0002__x0002_Summary_x0002__x0002__x0002__x0002__x0014__x0002__x0002__x0002__@RISKFitInformation_x0002__x0002__x0002__x0002__x000C__x0002__x0002__x0002_Distribution_x0006__x0002__x0002__x0002__x0004__x0002__x0002__x0002_A690)_x0002__x0002__x0002_=RiskExpon(7.9224,RiskName("Q Arrivals"))_x0002__x0002__x0002__x0002__x0001__x0002__x0002__x0002__x0002__x0002__x0002__x0002__x0002__x0002__x0002__x0002__x0001__x0002__x0002__x0002_)_x0002__x0002__x0002__x0005__x0002__x0002__x0002_Q Arr_x0003__x0005_ivals_x0003__x0003__x0003__x0003__x0003__x0003__x0003__x0003__x0003__x0003__x0003__x0003__x0003__x0003__x0003__x0003__x0003__x0003__x0003__x0003__x0004__x0003__x0003__x0003_B690*_x0003__x0003__x0003_=RiskExpon(4.247,RiskName("Process Time"))_x0003__x0003__x0003__x0003__x0001__x0003__x0003__x0003__x0003__x0003__x0003__x0003__x0001__x0003__x0003__x0003__x0001__x0003__x0003__x0003_*_x0003__x0003__x0003__x000C__x0003__x0003__x0003_Process Time_x0003__x0003__x0003__x0003__x0003__x0003__x0003__x0003__x0003__x0003__x0003__x0003__x0003__x0003__x0003__x0003__x0003__x0003__x0003__x0003__x0004__x0003__x0003__x0003_C690#_x0003__x0003__x0003_=RiskExpon(2.1033,RiskName("MTTR"))_x0003__x0003__x0003__x0003__x0001__x0003__x0003__x0003__x0003__x0003__x0003__x0003__x0002__x0003__x0003__x0003__x0001__x0003__x0003__x0003_#_x0003__x0003__x0003__x0004__x0003__x0003__x0003_MTTR_x0003__x0003__x0003__x0003__x0003__x0003__x0003__x0003__x0003__x0003__x0003__x0003__x0003__x0003__x0003__x0003__x0003__x0003__x0003__x0003__x0004__x0003__x0003__x0003_D690+_x0003__x0003__x0003_=R_x0002__x0005_iskLognorm(4.3459,6.338,RiskName("MTBF"))_x0002__x0002__x0002__x0002__x0001__x0002__x0002__x0002__x0002__x0002__x0002__x0002__x0003__x0002__x0002__x0002__x0001__x0002__x0002__x0002_+_x0002__x0002__x0002__x0004__x0002__x0002__x0002_MTBF_x0002__x0002__x0002__x0002__x0002__x0002__x0002__x0002__x0002__x0002__x0002__x0002__x0002__x0002__x0002__x0002__x0002__x0002__x0002__x0002__x0004__x0002__x0002__x0002_E7032_x0002__x0002__x0002_=RiskExpon(3.2682,RiskName("Process Time (Pure)"))_x0002__x0002__x0002__x0002__x0001__x0002__x0002__x0002__x0002__x0002__x0002__x0002__x0004__x0002__x0002__x0002__x0001__x0002__x0002__x0002_2_x0002__x0002__x0002__x0013__x0002__x0002__x0002_Process Time (Pure)_x0002__x0002__x0002__x0002__x0002__x0002__x0002__x0002__x0002__x0002__x0002__x0002__x0002__x0002__x0002__x0002__x0002__x0002__x0002__x0002__x0004__x0002__x0002__x0002_F703_x001D__x0002__x0002__x0002_=RiskFitDistributi_x0004__x0007_on(E2:E702)_x0003__x0004__x0004__x0004__x0001__x0001__x0001__x0001__x0004__x0004__x0004__x0004__x0004__x0004__x0004__x0005__x0004__x0004__x0004__x0001__x0004__x0004__x0004__x001D__x0004__x0004__x0004__x0004__x0004__x0004__x0004__x0001__x0004__x0004__x0004__x0004__x0004__x0004__x0004__x0004__x0004__x0004__x0004__x0004__x0004__x0004__x0004__x0004__x0004__x0004__x0004__x0004__x0004__x0004__x0004__x0001__x0004__x0004__x0004__x0005__x0004__x0004__x0004_Sim#1_x0004__x0004__x0004__x0004__x0004__x0004__x0008__x0004__x0004__x0004_6BW2E9KA_x0004__x0004__x0004__x0004__x0004__x0004__x0001__x0004__x0004_F_x0004__x0004__x0004__x0004_27KRM41Z7PBWPQYM9L6R8E1P_x0004__x0004__x0004_ÿÿÿÿ_x0004__x0004_ÿÿÿÿ_x0004__x0004_ÿÿÿÿ_x0004__x0004_ÿÿÿÿ_x0004__x0004_ÿÿÿÿ_x0004__x0004_ÿÿÿÿ_x0010_'_x0004__x0004_ó_x0003__x0004__x0004__x0004__x0001__x0004__x0004__x0010__x0002__x0004__x0004__x0004__x0004__x0005__x0004__x0004_Book1_x0004__x0004__x0004__x0004__x0001__x0004__x0004__x0004__x0004__x0006__x0004__x0004_Sheet1_x0004__x0004__x0004__x0004__x0004__x001F__x0004__x0004_MASTER Scanner  01.07.20_x0004__x0005_15.xlsx_x0018__x0004__x0004__x0004_27KRM41Z7PBWPQYM9L6R8E1P_x0007__x0004__x0004__x0004__x0004__x0005__x0004__x0004_Scan Queue_x0004__x0004__x0004__x0004__x0004__x0007__x0004__x0004_Scanner_x0004__x0004__x0004__x0004__x0004_	_x0004__x0004_DELAY LOG_x0004__x0004__x0004__x0004__x0004__x0003__x0004__x0004_ALL_x0004__x0004__x0004__x0004__x0004__x0007__x0004__x0004_Summary_x0004__x0004__x0004__x0004__x0004__x0014__x0004__x0004__@RISKFitInformation_x0004__x0004__x0004__x0004__x0004__x000C__x0004__x0004_Distribution_x0006__x0004__x0004__x0004__x0004_±_x0002__x0004__x0004__x0004__x0004_)_x0004__x0004_=RiskExpon(7.9224,RiskName("Q Arrivals"))_x0004__x0004__x0004__x0004__x0001__x0004__x0004__x0004__x0004__x0004__x0004__x0004__x0004__x0001__x0004__x0004__x0004_)_x0004__x0004__x0004__x0005__x0004__x0004_Q Ar_x0003__x0005_rivals_x0003__x0003_ÿÿÿÿ_x0003__x0003__x0003__x0003__x0003__x0003__x0003__x0003__x0003__x0003__x0003__x0003__x0003__x0003__x0003__x0003__x0003_±_x0002__x0003__x0003__x0001__x0003_*_x0003__x0003_=RiskExpon(4.247,RiskName("Process Time"))_x0003__x0003__x0003__x0003__x0001__x0003__x0003__x0003__x0003__x0001__x0003__x0003__x0003__x0001__x0003__x0003__x0003_*_x0003__x0003__x0003__x000C__x0003__x0003_Process Time_x0003__x0003_ÿÿÿÿ_x0003__x0003__x0003__x0003__x0003__x0003__x0003__x0003__x0003__x0003__x0003__x0003__x0003__x0003__x0003__x0003__x0003_±_x0002__x0003__x0003__x0002__x0003_#_x0003__x0003_=RiskExpon(2.1033,RiskName("MTTR"))_x0003__x0003__x0003__x0003__x0001__x0003__x0003__x0003__x0003__x0002__x0003__x0003__x0003__x0001__x0003__x0003__x0003_#_x0003__x0003__x0003__x0004__x0003__x0003_MTTR_x0003__x0003_ÿÿÿÿ_x0003__x0003__x0003__x0003__x0003__x0003__x0003__x0003__x0003__x0003__x0003__x0003__x0003__x0003__x0003__x0003__x0003__x0006__x0007_±_x0002__x0006__x0006__x0003__x0006_+_x0006__x0006_=RiskLognorm(4.3459,6.338,RiskName("MTBF"))_x0006__x0006__x0006__x0006__x0001__x0006__x0006__x0006__x0006__x0003__x0006__x0006__x0006__x0001__x0006__x0006__x0006_+_x0006__x0006__x0006__x0004__x0006__x0006_MTBF_x0006__x0006_ÿÿÿÿ_x0006__x0006__x0006__x0006__x0006__x0006__x0006__x0006__x0006__x0006__x0006__x0006__x0006__x0006__x0006__x0006__x0006_¾_x0002__x0006__x0006__x0004__x0006_2_x0006__x0006_=RiskExpon(3.2682,RiskName("Process Time (Pure)"))_x0006__x0006__x0006__x0006__x0001__x0006__x0006__x0006__x0006__x0004__x0006__x0006__x0006__x0001__x0006__x0006__x0006_2_x0006__x0006__x0006__x0013__x0006__x0006_Process Time (Pure)_x0006__x0006_ÿÿÿÿ_x0006__x0006__x0006__x0006__x0006__x0006__x0006__x0006__x0006__x0006__x0006__x0006__x0006__x0006__x0006__x0006__x0006_¾_x0002__x0006__x0006__x0005__x0006__x001D__x0006__x0006__x0007__x0008_=RiskFitDistribution(E2:E702)_x0003__x0007__x0007__x0001__x0001__x0001__x0007__x0001__x0007__x0007__x0007__x0007__x0005__x0007__x0007__x0007__x0001__x0007__x0007__x0007__x001D__x0007__x0007__x0007__x0007__x0007__x0007__x0001__x0007_ÿÿÿÿ_x0007__x0007__x0007__x0007__x0007__x0007__x0007__x0007__x0007__x0007__x0007__x0007__x0007__x0007__x0007__x0007__x0006__x0007__x0007__x0007__x0007__x0007__x0007__x0007__x0007__x0007__x0007__x0007__x0007__x0007__x0007__x0007__x0006__x0007__x0007__x0007__x0001__x0007__x0006__x0007__x0007__x0007__x0007__x0007__x0007__x0007__x0001__x0007__x0006__x0007__x0001__x0007__x0007__x0007__x0007__x0007__x0001__x0007__x0006__x0007__x0002__x0007__x0007__x0007__x0007__x0007__x0001__x0007__x0006__x0007__x0003__x0007__x0007__x0007__x0007__x0007__x0001__x0007__x0006__x0007__x0004__x0007__x0007__x0007__x0007__x0007__x0001__x0007__x0006__x0007__x0005__x0007__x0007__x0007__x0007__x0007__x0007__x0007__x0007__x0007__x0007__x0007__x0007__x0007__x0007__x0007__x0007__x0007__x0012_'_x0007__x0007_&lt;_x0007__x0007__x0007_ÿÿÿÿÿÿÿÿÿÿÿÿÿÿÿÿÿÿÿÿÿÿÿÿÿÿÿÿÿÿÿÿÿÿÿÿÿÿÿÿÿÿÿÿÿÿÿÿ_x0007__x0007__x0007__x0007__x0011_'_x0007__x0007__x000C__x0007__x0007__x0007__x0001__x0007__x0007__x0007__x0013_'_x0007__x0007__x0002__x0003__x0010__x0002__x0002__x0002__x0001__x0002__x0002__x0002_(ÄÚg_x0001__x0002__x0002_ÿÿÿÿ</t>
  </si>
  <si>
    <t>GF1_rK0qDwEADgADAQwjACYAOwBxAIUAhgCUAKIA3QD/APkAKgD//wAAAAAAAQQAAAAAB0dlbmVyYWwAAAABE1Byb2Nlc3MgVGltZSAoUHVyZSkBHUNvbXBhcmlzb24gd2l0aCBFeHBvbigzLjI2ODIpAQEQAAIAAQpTdGF0aXN0aWNzAwEBAP8BAQEBAQABAQEABAAAAAEBAQEBAAEBAQAEAAAAAqkAAscAABoAE1Byb2Nlc3MgVGltZSAoUHVyZSkAAC8BAgACABQADUV4cG9uKDMuMjY4MikBASUBAgDlAO8AAQECAZqZmZmZmbk/AADNzMzMzMzsPwAABQABAQEAAQEBAA==</t>
  </si>
  <si>
    <t>Dist_Name</t>
  </si>
  <si>
    <t>853318c189b27a186a94c1aa30b8a473_x0004__x0005_ÐÏ_x0011_à¡±_x001A_á_x0004__x0004__x0004__x0004__x0004__x0004__x0004__x0004__x0004__x0004__x0004__x0004__x0004__x0004__x0004__x0004_&gt;_x0004__x0003__x0004_þÿ	_x0004__x0006__x0004__x0004__x0004__x0004__x0004__x0004__x0004__x0004__x0004__x0004__x0004__x0001__x0004__x0004__x0004__x0001__x0004__x0004__x0004__x0004__x0004__x0004__x0004__x0004__x0010__x0004__x0004__x0002__x0004__x0004__x0004__x0001__x0004__x0004__x0004_þÿÿÿ_x0004__x0004__x0004__x0004__x0004__x0004__x0004__x0004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ýÿÿÿþÿÿÿþÿÿÿ_x0014__x0001__x0001__x0001__x0005__x0001__x0001__x0001__x0006__x0001__x0001__x0001__x0007__x0001__x0001__x0001__x0008__x0001__x0001__x0001_	_x0001__x0001__x0001__x0002__x0001__x0001__x0001__x000B__x0001__x0001__x0001__x000C__x0001__x0001__x0001__x000D__x0001__x0001__x0001__x000E__x0001__x0001__x0001__x000F__x0001__x0001__x0001__x0010__x0001__x0001__x0001__x0011__x0001__x0001__x0001__x0012__x0001__x0001__x0001__x0013__x0001__x0001__x0001__x0003__x0001__x0001__x0001__x0015__x0001__x0001__x0001__x0016__x0001__x0001__x0001__x0017__x0001__x0001__x0001__x0018__x0001__x0001__x0001__x0019__x0001__x0001__x0001__x001A__x0001__x0001__x0001__x001B__x0001__x0001__x0001__x001C__x0001__x0001__x0001__x001D__x0001__x0001__x0001__x001E__x0001__x0001__x0001__x001F__x0001__x0001__x0001_ _x0001__x0001__x0001_!_x0001__x0001__x0001_"_x0001__x0001__x0001_#_x0001__x0001__x0001_$_x0001__x0001__x0001_%_x0001__x0001__x0001_&amp;_x0001__x0001__x0001_'_x0001__x0001__x0001_(_x0001__x0001__x0001_)_x0001__x0001__x0001_*_x0001__x0001__x0001_+_x0001__x0001__x0001_,_x0001__x0001__x0001_-_x0001__x0001__x0001_._x0001__x0001__x0001_/_x0001__x0001__x0001_0_x0001__x0001__x0001_1_x0001__x0001__x0001_2_x0001__x0001__x0001_3_x0001__x0001__x0001_4_x0001__x0001__x0001_5_x0001__x0001__x0001_6_x0001__x0001__x0001_7_x0001__x0001__x0001_8_x0001__x0001__x0001_9_x0001__x0001__x0001_:_x0001__x0001__x0001_;_x0001__x0001__x0001_&lt;_x0001__x0001__x0001_=_x0001__x0001__x0001__x0001__x0002_&gt;_x0001__x0001__x0001_?_x0001__x0001__x0001_@_x0001__x0001__x0001_A_x0001__x0001__x0001_B_x0001__x0001__x0001_C_x0001__x0001__x0001_D_x0001__x0001__x0001_E_x0001__x0001__x0001_F_x0001__x0001__x0001_G_x0001__x0001__x0001_H_x0001__x0001__x0001_I_x0001__x0001__x0001_J_x0001__x0001__x0001_K_x0001__x0001__x0001_L_x0001__x0001__x0001_M_x0001__x0001__x0001_N_x0001__x0001__x0001_O_x0001__x0001__x0001_P_x0001__x0001__x0001_Q_x0001__x0001__x0001_R_x0001__x0001__x0001_S_x0001__x0001__x0001_T_x0001__x0001__x0001_U_x0001__x0001__x0001_V_x0001__x0001__x0001_W_x0001__x0001__x0001_X_x0001__x0001__x0001_Y_x0001__x0001__x0001_Z_x0001__x0001__x0001_[_x0001__x0001__x0001_\_x0001__x0001__x0001_]_x0001__x0001__x0001_^_x0001__x0001__x0001___x0001__x0001__x0001_`_x0001__x0001__x0001_a_x0001__x0001__x0001_b_x0001__x0001__x0001_c_x0001__x0001__x0001_d_x0001__x0001__x0001_þÿÿÿÿÿÿÿÿÿÿÿÿÿÿÿÿÿÿÿÿÿÿÿÿÿÿÿÿÿÿÿÿÿÿÿÿÿÿÿÿÿÿÿÿÿÿÿÿÿÿÿÿÿÿÿÿÿÿÿÿÿÿÿÿÿÿÿÿÿÿÿÿÿÿÿÿÿÿÿÿÿÿÿÿÿÿÿÿÿÿÿÿÿÿÿ_x0003__x0004_ÿÿÿÿÿÿÿÿÿÿÿÿÿÿÿÿR_x0003_o_x0003_o_x0003_t_x0003_ _x0003_E_x0003_n_x0003_t_x0003_r_x0003_y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0016__x0003__x0005__x0003_ÿÿÿÿÿÿÿÿ_x0001__x0003__x0003__x0003__x0003__x0003__x0003__x0003__x0003__x0003__x0003__x0003__x0003__x0003__x0003__x0003__x0003__x0003__x0003__x0003__x0003__x0003__x0003__x0003__x0003__x0003__x0003__x0003__x0003__x0003__x0003__x0003_`ßîÁ·Ð_x0001_þÿÿÿ_x0003__x0003__x0003__x0003__x0003__x0003__x0003__x0003_R_x0003_S_x0003_K_x0003_L_x0003_I_x0003_B_x0003_ _x0003_D_x0003_a_x0003_t_x0003_a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0018__x0003__x0002__x0001_ÿÿÿÿÿÿÿÿÿÿÿÿ_x0003__x0003__x0003__x0003__x0003__x0003__x0003__x0003__x0003__x0003__x0003__x0003__x0003__x0003__x0003__x0003__x0003__x0003__x0003__x0003__x0003__x0003__x0003__x0003__x0003__x0003__x0003__x0003__x0001__x0002__x0001__x0001__x0001__x0001__x0001__x0001__x0001__x0001__x0004__x0001__x0001__x0001_ØÃ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ÿÿÿÿÿÿÿÿÿÿÿÿ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ÿÿÿÿÿÿÿÿÿÿÿÿ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0007__x0008_ÿÿÿÿÿÿÿÿÿÿÿÿÿÿÿÿÿÿÿÿÿÿÿÿÿÿÿÿÿÿÿÿçöÕ©_x001C_õ?Ñ3Å_x0006__x0010_ø?5íèß¹Ì!@{{FNÆ_x001E_@Ñ8;UC_x0014_@lA_x0002_è¨}_x0012_@Ö£Å«µñ?H%èoä?Ô?j³U·?fÛÌ~²_x0001_@ü_x0018__x0010_|¸_x0005_@_x0006_G_x0019_óã'@½Lâ5¿¢ä?e&gt;¬Êé!@_x001A__x0016__x000E_£/._x0016_@¦p@Ñ¤¬_x0013_@_x0004_ s_x0017_@ÿ§§ÙJè?(_x0007__x0003_éKà?KÁm`#Yò?ë¢¤fÓÕ_x0015_@_x0015_Ô_x0005_á_x000D_0@ë»_x0013_¸_x000D_@~¡_x0012_ZQj#@Éê'n._x0014_@Íå»GÌ&amp;@*ô)á#Þ?_x0013_+n_x0001__x0007_®û @[aóÿÒ_x0006_@Qc_x000E_úíù?__x0018__x0008_T_x0010_×?N_x0011_P7ö_x001A_@¶8ÉBxä#@ÿÜB_x0008__x000E_ú?I¼×_x0010__x0005_ï?_x0002_aÄ(£_x0010_@À_x0004_4_x0005__x0016_@_x0003_ÂÝ~_x0008_@Nå_x001A_º¹¨_x0002_@ôy}Oø_x0015_ë?¥Á°!Ù_x000F__x0004_@Ó*@]Æ_x0006_@_x000D_ÂF_x000F_G$@ÿ_x000C_p&amp;@E_x0014_¶ÚÆ=_x000B_@È¥_x0002_ÁÊÛ_x0007_@¤_x001B__x001C_9_x0018_Ø?µ&gt;~NÎ?#ét=e_x0001_@(õ_x000F_ïâ|²?b¼	x¬GÂ?79÷*Õðá?¨tj*_x0001_c$@eÛ_x000C__x000E_ËRé?o_Ô!_x0003__x0002_@¯¾¼ýâU÷?_x000B_íG*2z.@¦ë%Íf_x0014_@-?_x001C_@_x0004__x000B_97_x0011_¡&gt;{¢?r4S_x001F_K¥_x0008_@·:dá_x0010__x0005_@gkL_x0019_[Qñ?	)Í _x001A_&amp;@_x0001__x0004__x0004__x000D_)U_x000F_)U_x0001__x0004__x0004__x0004__x0001__x0004__x0004__x0004_è_x0003__x0004__x0004_è_x0003__x0004__x0004_è_x0003__x0004__x0004__x0003__x0004__x0004__x0004__x0002__x0004__x0004__x0004__x0006__x0004__x0004__x0004__x0004__x0004__x0004__x0004__x0006__x0004__x0004__x0004__x0004__x0004__x0004__x0004_(ÄÚg_x0001__x0004__x0004__x0004__x0004__x0004__x0004__x0004__x0004__x0004__x0004__x0004_	ãÇáë_x0011_@,_x0015_E*@f_x0012__x0006_~l_x0005_û?J1|_x000B_õ_x0019_@ðRs3ø'_x001C_@£0¨_x0012_Ú_x000F__x0018_@U)¡¶¢_x001E_@_x000C__x001D__x0018_"_x0007_@Ã®q¿ÐÉ?7*FUj_x001C_E@.M0°ú_x001F_ÿ?ª6âïÇ_x0004_Ý?ÿ&gt;âøà?¦¬_x001F_w_x0011_@_x001F_çó~_x001F_@qEEhfà¼?W.Í¬l.@kØ2Ö_x0005__x000E_%ò?*ÿBçµ^ý?_x001C_ð-õñ(@ò+1²â_x0014_@£­®0L&amp;@{_x0001_2_x000F_úé?	I_x001B_@_x0001_-+÷l_x0002_@sÌ¢ì1@lg=} @Ú_x0006__x000D_%_x001D__x0006_@m¢~åu _x0013_@r÷a_x001B_#}6@_x000D_0X /à?_x0016_±±u_x0018_@ó_x0010_ym_x000C_û?Î6_x0005_LòÑ$@¯uO_x001C_èÎ?QÆ0¸U	@[|º(@óØYr_x0008_)@_x0012_ôçg,@¿_x001E_ÂÑ8ð?Ü_x001F_ê&lt; 0@{ÖB_x0004_õ_x0011_@àéA_x0013_@jÊÒ¾bß;@Fª.&lt;³_x0013_@Ìß@]V_x0007_@1seëE:@!{_x0003_u_x0012_@â8_x000B_ü´4@_x0003__x0004_N¶Â_x0003_ï _x000D_@$DµüB_x001F_@æ_x0012_dwâ½%@ã}õ)(y#@ðXg/_x001E_´#@oÃ_x000C_L_x0007_#%@è¶í¶Â#@þ@_x000F_ú_x0002_	%@å_x001B_rÞ1@Rn_x001F__x0019_ûv_x000C_@_x0018__x000C_l3Ý5@Ë­ßIíM_x0012_@"c¹h5ï_x001F_@ÐRÕX%ë&amp;@¾¬1l_x000B_@¸À_x001B_R»ñò?lø_x001F_é07@tIÎ§Ü._x0017_@þ$ØQ^ð$@_x000C__x000E_¶ò_x000F_@O_x000F__x0018_ìó_x001A_@Æ_x0001_ÝåÄ_x001E_@½Ñõ¶:!@_x0006_jvù?Ó_x001A_G~ª$@L¶Ðe_x0003_è?%¾QôyzÐ?_x000F__x001E__x001C_=M$@¹?\ql._x0015_@_x001B_¶I÷_x0015_@¬ü*ªýß @ñ©í­_x0008_	Ê_x001B_@'Q»xö	@ª5Ø?C_x0002_@s_x0004_@]{~O_x0011__x0005_@·A6³!¥.@_x0001_}P°ìà??K_x0011_âPá?äQ_x0014_{(_x0004_@/°ü!±_x0007_@¹_x001C_Ä_x000C__x0016_Q_x0010_@¥Ú_x0017__x001F__x0019_@_x000F_^?³_x0006_@Ò-aØKÒ?äùxÀ_x0003_	@¦^¸Ëó_x0010_Ù?Åv_x0006_xÆ_x0013_@;@m£@Z(@_x0015_U«y_x0010_]_x001E_@¹·pàì_x0014_@|¦bP¶s_x0006_@_§Òôæe0@ó$_x000B_j'ù?zÌx@®^ @_x001A_/p5Vk%@?Ô½_x000C_þ_x0016_@_x000F_óÛ_x0014_Â*@_yø×ÏÌ_x0012_@Äæ+ä¹_x0003_@ââÈ_x000C_Ãn_x0013_@M¦0|d«æ?®¾&gt;·qÞ_x001A_@_x0001__x0005_:(^Ý_x001B__x0005_ö?_x001E_ÐHÊ`_x001C_@tsªH$%ø?h«Ú"@ÛÉ3H_x0001_.@©	|½'C@&amp;_x001B_ßSùü?hÈ¢`5-@S_x0008_ýuÜ_x001C_@Ò(¦­_x0004_1@&gt;5q÷LÂÞ?_x000F_|Ó3_x000B_@ÇÕ _x000C_&amp;@ß_x000F_µ_x0006_ô&lt;&amp;@Lb©»(ô*@ë!³"©_x0014_@M²_x000E_h\ô?2(ó¾¤Í_x0011_@_x001E_Ê¸_x0007_&lt;ÿ?xAO2a_x0019_@J]y]Û_x000C_@öV×ã_x0002__x0014_#@otêÓØ_x0017_@þæ¤JB;@uvñ_x001E_@öÃ´soÞ4@íÃ_x0007_,	@_x0003_85_x0008_ÝR_x0018_@~¨æ ó?1o_çF«?¢:6_x000D_ç?_x0004_BÃ_x0003__x0004_®Ó_x001D_@S6Ö|ÄQ_x001D_@_x001A_¾S¨Ú_x000F_@_x0016_â^iMã?_x001D_Ê_x0008_5 @Åº_x0016_­$?_x0015_@p=2*9)@Fäi_x001A_T/@ÀÀ°Y"Ø_x0001_@ßHÌ2.|ô?_x0014_oûòy_x001E_@ _x0015_Eÿä?__x0012_ÐÀ_x000B__x0002__x000C_@è±÷ðz_x000F_@à_x0004_¤.!@\{Û_x0018_-@_x0012_ÛÈ	@4¡»FûÂ_x0019_@O&gt;iûq8÷?¼ÔdGC_x0014_@_x0017_çºeG¦_x000B_@`ÇÚëB#@Ð¬LÊ§Où?_x0017_7÷_Ún(@Û	õ;_x001E_Jå?îÖJ3î;à?Q$ÊC&lt;)_x0011_@kå_x0004_Øê2@Ûáõð[6_x0010_@M	[_x0013_@î©4"_x001F_*+@Ã#&amp;ú/_x0018_@_x0001__x0003_zy{añê?u_x000E_*_x0003_@«{HÈ§ó3@iâ_x0006_&lt;2@b_x0004_Q¬_x0011_@ñ+£l_x0007_'_x0011_@È@_x0002_¦¼ø?´Ëh»§éË?¨Ô¤¡7ëì?µZèXXù)@ZÅr©¤§ó?d²OË×_x0019_@_x001C_màaG_x0013_å?ý_x0019__x0001_Ë_x0018_@ø±T­ì8_x0004_@`_x0005_e_x0002_@_x0016__x001E_OÎ!@Ûã*½Àü&amp;@ªaÓ6_x0003__x0016_@±÷÷~®$@sP}uHÐ_x0003_@ã_x001B__x0012_&gt;ò_x0011_4@ÈÎáèÞ+@ÄP°nM3@'y&gt;©1@:O©Ð_x000C_,@GÓz_x0019_@&amp;@	Zß¼yÇ%@_x001C_@ÌÀ_x0012__x001F_@_x0015_wó´Çó?º\&lt;ÂKó?ÕGÿ&gt;_x0003__x0004_³_x0014__x001D_@Ù0ÇKxC!@_x000D_Õ}BiP!@y~KÐÝ%@ÑÑsÖÙ?´){- #@_x000D_}zÍðÄ#@kí|_x0014_'ö?ïã¤_x0012_¯.6@Ù76T!_x001D_@¸²åºço!@hÁv:_x0008_(µ?_x0010_['°Æ{_x0018_@»Ð²KO_x0015_@ü_x000C_î-ö{1@Ê)60ß?k_x001F_NÌ½ç3@Xdn&gt;_x001C_j_x000D_@1_x0007_GåÉÿ?êp_x0013_Ù_x0008__x0015_@-ÈH_x0001_;_x0013_@4'º:¡_x0014_@ßM%â'Ì_x0007_@k_x0019_d~í?crÂÖI_x0006__x001C_@&amp;IW&amp;-@ð £Òð?_x0015_#%_x001D_@&gt;b¨_x0019_@õôLPkýû?_x0004__x0016_Ú,®_x0019__x0005_@ Ä£Ð4º_x0002_@_x0001__x0002_5³ÈûÓ_x000D__x0011_@×_x001B_M£ó?_x0011_pá·ÅD_x0017_@KtZH¸û?ß Iö×_x000F_&gt;@Ç¨ôÒÖ_x0006_@WqooFá?_x0004_ÉlM_x0007_Ëö?_x0019_07Ù3Þí?L}õþ¯(@ á$¦_x000F_@_x001F_ú_x001D_,@Òmú 7_x0018_@aúü«¸%@nzËÈ£kë?à&gt;i_x0018_m=,@cÚ©aq|@@:îR^ÜN.@_x0008__x001B_ì_x0008_@óÎf-@Ê:RÐ:@D®Ý!Ý½_x000B_@_x000D_À±Ç_x0007_@H_x0017__x000D_-V_x0011_@í7_x001F_VÕÖ!@_x0003_ý_x0012_­_x0007_e_x0010_@ß?ÀÕ_x001A_H,@O b_x000F_Ê_x0019_õ?M^¡_x001E_§_x001A_ã?ùQþé÷Ó_x0003_@¯§§ïìF%@ñ¿*_x0002__x0004_®`2@³Äà.K/@ä90Xü?ªeeÂå?ÉÓÑ_x0004_Ú_x0006_@@_x0015__x0007_Fuå|ý?)¿%~_x000C_7_x0006_@p_x000E_#h×&amp;@J5¯mS\;@][an;_x0017_@ñUèxý _x0003_@Èö[UR_x001C_@$¤êdù7)@½³é7?&gt;$@qæ¼óch)@k&amp;_x0005_-¿V0@_x001E_R&lt;uL_x0015_@_x000E_qÜ[5¬_x0014_@_x0004_Ø8ð¶þ_x0010_@»ç Ñ?R1@Ò_x001A_Þ_x000E_=Ô?Wvïøý?±~¿23@é¬^h4@¿ÜÜ_x001A_¹P_x000B_@Æ:²&lt;+@x[Ö=E®ý?:ü÷^&gt;Ýÿ?øZ&gt;_x000F_Á_x000D_@Ð¨oÑj_x0010_	@1_x0001_aÔY_x001A_ö?_x0011_I½©_x0010_@_x0001__x0007_¶¶m?_x0019_@"!wW_x001D_@©Fm@#@v8_x001F__x001E_%"@q_x0014_â_x001B__x000E_×?ü1S_x0002_ÿ_x0008_õ?3Í_x0014__x0016_¤×*@ªÎ[è°î_x0004_@k©_x000E_&gt;_x001A_t=@I£Q$¼_x0012_@8f_x0001_ô&lt;@±4©/ç_x0018_@oîÌv_x001D_ê.@_x001F_Ke!)@Î¹raWû_x0011_@ÀÍè_x0010_@_x0001_oOÔ_x0014_@cAF;ðE_x0010_@h_x0007_Ó5½_x0010_@_x000C_gæ×ª&amp;@¹_x0010_ü)ù_x0006_@åK)_x001E__x001D_@¬_x0005_ýª{û?_x0017_ÉÕ XÝ?Òi[#ÿ_x0017_@_x001E__x0008_Råj_x0003_@öÚò*Dú?ë¡5Z%_÷?_x001A_ü¦¥î%@ð_x001A_×+ù?_x0017_#f§ßsø?S£¡_x0001__x0003_ÈBô?_x000D__x0001_,_x001D_á_x0004_@¥¹A_x0004_Ïµ9@ÜMùÕÛèó?0'gù·sA@ 4$ÊI[7@_x000B_§Õç_x0006__x001A_@_x001F_`¹µ÷?Õl_x0012_ÿ'@ý_x0005_9y­_x000C_%@ÞXe¢¡!@%Ò¢_x0018_)/_x001F_@ýáLN·ò?[_x001F_¬_x000C__x0007_@E7§ì_x001A__x0006_@x_x001D_³_I%_x0001_@âhPQ°_x0010__x0012_@Û·C~1Ó4@1÷°ÓÝt/@	V r1_x0011__x0003_@x|É^ÍLö?ç«¾bÕkÂ?Uwf_x001A_r²$@ÜgÕ2ä¼þ?áé&gt;Ï_x0002_?@¿`gÙÃ_x0004_/@¢&amp;tóð®?_x000F_îõç·.@uÄF_x0001__x001F_¨_x000E_@bZð¼¡ú?_x0002_â*ÉÙ_x0008_@Ç_x0011_ñêö?_x000F__x0015__x0002_:Wq_x001D__x001B_@_x0015_oðõ1@ø!_x0012_Ã_x0016_ñ?IHúS¢	@CvL_x0002_ºñ_x001C_@QXÄPµ_x000C_@rr{;-_x000E_@Ñ¿Y­ñ?_x001F_ív`%@_x0006_¹QÆ·!@_x000E_ècî_x0010_þ?«âñZF)@_x0016_TMÌfø_x001C_@¹Ã_x0008__x0005_\!@_x001D_\_x0005_kH_x0003__x0013_@äÃñ¯Ê_x0003__x0008_@ôÿâ'ÃÃ+@_x0008_O*5u_x000D_0@HrÆÊÄü?M_x0011__x000C__x001D_ _x001A_@:ôPMk_x000E_@_x0006__x000B_5qåø_x0007_@Á³N_x0018_¯_x000C_(@ÙªÊ_x0004_ó'@~ú%¡­Á_x0014_@Il(_x0015_'ã)@§_x0005_CüýÀ_x0010_@u¹(}o"@×® ÄL_x0004_@®_x0001_Øï­9_x000B_@)5¿K7í6@ã^üN_x0005__x0007_ó+@øØºV_x001F__x0016_@¸°GäÅ+_x0014_@Xû[ð§ïù?æ__x0005_xí³_x0018_@ë§!XÖ_x0010_*@ì[Éá0@½dy:[!@áW_x0018_ÄÄÍï??´&lt;_x0015_Îk5@_x000D_)¶&gt;ç??äûí-¾&amp;@0+VM14@ÆÓ/¯ T_x0017_@_x0015_Ø#_x000C_÷â_x000D_@M9ç_x000C_NtÛ?#¹Û_x0005__x000C__x0019_@Ò/ýÅ]Væ?_x001D_*	_x000F_3@_x0016_çáîB_x0002_@_x0006_êL«ò? Õ_x0019__x0014__x001D_0&amp;@ØÿÞåÌ_x0004_@ü®Í_x0007_A-@®3û_x001D_Ø,@¶[ßh1#@ÃXF_x0014_ó?3&lt;÷6Ú_x0001__x0006_@¯_x001B_ùóÂ"@EmFùÄ?1GC³Ü?ä¹p_x000E__x0003_@_x0002__x0004_*A?êH`"@U}_x0003_¥5@X_x001A_ã|Ií_x0019_@Å_x0011_¦ó¤º_x001F_@Þ×B_x001F_´Ù_x001B_@^­`x¬Õ?_x0006_?æ_x001F_£åñ?3|ïRV_x0014_@~£¹B40@(x)åÃá?sM_x0005_Zìxõ?_x0005_+õµ^ü?t_x0001_·Ö_x001F__x000C_@[0 ´2_x001B_@Ó7u3_x000C_@¦Zÿ_x001E_é?_x0017_o_x0018_\ù_x001F__x000D_@ëá§8g_x000E__x0016_@WVÊR4(@MÔM«0@_x0001_Ø¡8ø?ã_x0002__x0015_!h_x001B_@T_x0013__x0013_ö2@_x0016_²±Ñ¶_x000E_@Ä?LY+0@OÊeÖ_x0008_¸?9_x0002__x001E_Û8@ÃñD(_x0010_@]rP;²_x0003__x0014_@aÃ0RÕ	@k¤®_x000C_)_x0012_@£G¾1_x0001__x0002__x001B_%ü?p2_x0004__x0017_à('@Ð_x000D_³_x0006_X¹5@_x0015_/jNeï_x0015_@&gt;ÀÙñð?_x0005_Ù_x000F_cþ"@U¹ä_x0003_Î&lt;@Ù²d_x0006_Æ=@U¾×¯Î?ÚC_x000C_@¯²P_x0018_V"_x001A_@(3ý£]*@òÀ|½_x001D__x0003_@º§_x001B_oõ&gt;'@_x0004_O8åÛ_x0010_@_x000D_XZ¿È_x0005_Æ?/ ·d_x000D_Ó @£mÓV_x000D__x000D_@EA¤(Q_x0008_@/ÍhÓÈ-4@¶:V£_x0011_@¬_x0006_#ÌË#@P%{ýb&lt;*@ÓÜèÃ§ÿ?}*ãè&amp;@8Í_x0012_1[	 @êWI!_x0013_v$@\ô_x000F_0²?¯=äCÈN@'_x0013_B»$g_x001A_@8èf_x0011_G³ñ?}´_­mG_x0005_@_x0003__x0006__x0005_/µïÑ_x001F_@]_x0012_Ó9fL_x000C_@9|òäûù@@Í\&amp;°9_x001F__x0010_@p_x0002_´³_x001E_Ø_x0005_@U_x000B_÷a1@téÞ?çÿÑ?TÝô°p#@_x0010_bBö.éÆ?^_x0001__x000D_¸g² @cò?Þ_x000F_2B@¢Ë¢»M%@)_x000E_²Ãõ?JØz_x0007_X_x0015_@!_x0004_y¯û)_x0006_@²Ò*&lt;|Ç_x0003_@*_x0006_ÏQáì+@_x0018_#_x0004_cÚþ?=Ú_x0008_,·ª*@~½_x0014_L_x0006_@k_x0017_^J×v?ÿè?ôÇÑ?@_x0010_¤IGÕ-@Iárõj*#@ ×¶X;0@_x000B_%(òo¼ @_x001C_Bp5Íâ?ê2ûàÚ_x0017_@_x0010_ë%Ý_x0017__x0002_@?Úº_x0019_É,@ÔÔ©_x0004_ïA@%_x001C_ÓT_x0006__x000C_Üá'@$_x0010_§_x0018_ _x0017_@_x000D_[µéz0@¿h_x0014_õôP_x0006_@ÿ77_x0019_Ì-%@4(õ_x0016_D¿ú?ýìr(ûm_x0016_@«?¡\Þ4_x0007_@Û_x000C_&gt;ï%@_x0012_\=l+@²õÿ/Y_x0011_@Dïï©_ä_x001B_@u9_x001F_òY_x000B_"@g£·U¸á$@à_x000F__x000D_&lt;n0_x001E_@m}_x0006_ë?_x0002_£ð=Y_x001A_@ÈE´_x0015__x001C_	_x000B_@ê©¨_x0003_@épÿôê_x0005_æ?_x000E_Õ9k_x0004__x0010_@»(rÙ*@Q®[×d_x001D_@q_x0007_%ÅÏÅ1@;´Í|_x000F_Z_x0016_@_x001E_½N@£R_x0001_@*~_x0008_Q_x0002__x0002_@Û_x0006_5ï«þ?òX-¸Z_x0012_@_x0018_«m2_x0018_d_x0011_@H_x0018_ê&gt;ñx_x0019_@)Ap2ûû?_x0002__x0004__x0017_dÂñ,_x000F_@_x0006_~=òv_x0017_@Q^¡s_x0015_ä?ó g­íÁ_x0008_@£ä¢_x0003_lAî?¨Ó"aÍü_x0013_@ìY1®_x0008_\±?öª¢&gt;û&gt;@ÏEF_x0002_çå?º3_x001A_£_x001F_@)éâ_x000F_ûR"@~JZ±Ûõ?aùï¥a_x0013_@_x0008_ßÜR_x0005_5@óM÷Um-@Á)w_[§%@£t_x0007_Ô?£4Y­_x0016_@`²òDÁ_x0015_@_x001A__x0015_cã_x0018_ý?5k_x0001_ò«_x001C_@W?_x001A_/5@[(_x0008__x0008_ã¸_x0011_@_x000B_anfo_x0002_@2Z~mÆq_x0004_@ðÃ£_x0013_Ån×?_x0019_X_x001F_°Ûé?«a_x0001_ñ&amp;_x0015_@3Á£H×|ò?!ÿ¬6@=Z?kD @NÈð_x0003__x0006_2{÷?è|?=_x001E__x0017_@an_x0007__x0007_Ð_x0015_@àm'ô©Ü#@_x0012_ØÚÿë?·MmOò_x0005_@ç_x0013__x000D_^Ç @ÔµHU @&gt;y_x0016_¢ÿh(@(¡F\Í?.@¤(·_x0012_2»?fr_x0016_KÄO'@ ã_x0008_Î§Ú?f_{'y_x001C_@7Î²_x0014_Í??O2~ÏÆÒ?ïÉÜäÔû?$7ç_x0014_%_x001D__x001F_@´%&gt;ï0@*@_x0001_;ò_x000D_@ê&gt;K_x0019_×_x0011_@ûÈÙHã31@¾©Î_x0013_f8@_x0003_ÄÙAÏ%@_x0002_-t0@ÜÝëU_x0004_û7@_x0001_ü_x001A_Þå_x0010_7@"_x0013_¥bv2@FFh?Â @6 _x000B_(_x0016__x0001_@ï6_x0010_Ãy&lt;@_x001A_O[s' @_x0006__x0007_²Ä_x000F_e_x0019_´_x001E_@¯]~_x0001_Þ"@_x0008_ÙªO5@_x0015_ù¹Æäú%@T¯÷¨Ì/@TÞÏ_x0019_Õa6@B&amp;/"Ít_x0005_@üÑ_x000B__x001B_Ä_x0002_@&gt;HÓµ_x0002_@ÛTÉê±_x0010_@Xº»öÍ_x0001_@Ñ£M274_x0003_@d("C_x0001__x0004_2@Ë¹_x000B_Ïß_x001E_@öD_x0012_7_x0001_÷?S°Å££~_x0003_@¾ñ&gt;Øç?Èì_x0016_=e«_x0008_@m_x0003_740ü_x001B_@g½ ¬n`_x0014_@?N/-Ö?~ÇêãHÉ?A)EØô?S\_x0004_Ã_x0014_'@a_x000E_ê_x000D_*ñ	@_x0013_Öé_x0016_!@Qhl_x000C_ì_x0010_@9Ñ«Çn$@è_x0018_$½µ?@Ì_x001B__x001A_®ðè_x0017_@Ù)þ!×_x001E_Ú?¢ó1_x0001__x0010_¹_x000F__x0004_@_x000E_¸¬_x0013__x0003_m)@M©7_x0014_7D_x0007_@AæöFí_x0016__x0014_@¢Í×Lú_x0004_@4LcdÓ?wX2´NÈ?1Nåìö;â?v½7j_x0010_Æ2@ðßl9['@b£ch=¬_x0010_@9³*g_x0015__x000B_@&amp;ÕH 4)_x0013_@Þi$·ä_x0006_@q¡T!2í_x0012_@@vU_x000D_H_x000E_@;	÷£*Ù_x000B_@*ÏÞC_x0018_õ_x0017_@íÐÁ&amp;An_x0012_@bØ=ÙU_x0016_5@18æÜ£â?FË.YÞ#!@«ÿp¬l_x0015_@}àÜ§_x000C_ª_x0005_@W»r_x000D__x0001_@ú?O	_x0019__x0008_@!_x0019_¬_x0013_r¨3@gáhyu_x001F_@é_x0002_ëL¶Ð?ïÌýØ °_x0015_@&gt;Jú£&gt;_x0012_@³_x0016_æc³t"@_x0002__x0003_0:a×_x0003_@ë1pM¿è1@È5¸¼O:_x0002_@_x0010_ìe_x0015_å_x0013_@_x001D_¸³¤é_x000B_@ØT±=¨W+@_x0015_;¿Ñ_x0006_Á?rEï_x0002_,@JL)I"@CÅ_x0005_µ¤_x0001_@æìÍò¦_x0010_@^°ã­_x0016_@*Mä!@µãàyb3@Û¢_x0018_"@»u~Ö_x0005__x0004_@û%ÞD_x000F_@q^êÀY_x000E_@p²èRK @¥XxÑ%_x000C_@ÑUOþ_x000D_@ÔÛw­UC"@?|¹®_x0019_@÷PYW@@íbdÙ%&amp;@56ºËRW$@ú|]_x0019_t_x0011_.@_x0011_¸¹ßîYø?¤3Hî¶_x0002_"@9üì +@_x000E_Ý¬Æ_x0012_+@&gt;'«Ú_x0006__x0008_Lû?ÍÛ¿Äß?¾Ëµ&amp;+ 9@èX!lÂ_x0017_@Ñ0V°÷²2@8­Ð]&amp;@ºnÞÜß/@¾|U+æ^_x0019_@;²gx_x001A_@= e("@Þ[_x0004_5_x0016_Ç_x000D_@J/A.¤ü?&amp;+Smª,@¬_x001B_Bç8_x0011_@Å×¢Ø_x0014_:@_x000F_®_x001C_sÂ_x0001_0@YAÄ_x001B_|²í?l_x000D_I_Õ_x0002_@ïüCº?ÃaÔáÚ2@_x0003_ÇL*Rú_x0002_@,ºjg§#ð?n_x0001_O|æ_x001B__x0015_@#D"Ö_x0019__x0007_ò?Îk_x000D__x0011_@à¹4_x0006_@1@_x0005_%æ»_x0007_À?á_x000F_TOð_x0016_ú?CüÚÙÀnD@ô\Ð#RE_x000D_@6éí_x0014_«}3@r_x0011_sT_x000D_@_x0003__x0006_Ø`¸õ_x001D_1_x0001_@#ÕÇízp_x0001_@ò]V_x001D_ @-uk]Ñë?ÇÑ¡ðÍ7@$Z ö«_x001F_÷?ôT4_x0006_ÿ	ç?_x000C__x001D__T¢="@Oxý~ú_x0006_!@"¢Øî 6@SJ×x´Ô?Vj_x001B_Ø+Â3@"õ¤F®"@Øû_x0013__x0005_mÅ$@Ûö¥Õ&gt;@ÿÐèM0©_x0016_@î_x0002_ßôñ_x0010_@_x0019_È!q%_x001B_@æÁcìK&lt;@ìðy0ù_x0014_/@°_x0018_Yrxè5@ÿYåÏf_x000F_@Ê.Ö¿_x0012_@_x000E_;.¢k_x0014_@(S5ÚåÀ)@_x0007_qª_x001E_sÿ?_x0007_?_x001C_h#)@.^eHüÙ_x0015_@},I_x0004__x000D__x0010_@Ì$ Þ	'@m¥CÛb_x0003_@xê_x0001__x000B_øn_x0008_@cÍëm,@ïÎv~8@=»NV_x000C_®!@LÝäiôø?ßa±Ì_x0016_@)þ_x0012_ Ý_x0013_@_x0011_-z¥ï_x0008_@ E¸åV_x0016_@»1_x000B_ üó#@_x0004_à_x0005_3@WyU&lt;(_x0016_@þ©e_x0002_°_x001A_@¯_x0006_~ñJ_x0003_@ËÄ*MÐ_x000E_@I_x0007_ÆIw_x001B_@í_x0013_EÊ1ñè?k\_x0005_G_x0014_ô?_x0004_EÜ8ÑÉ6@X_x0018_mßõ_x000E_$@ïîÎ_x0018_Ö_x000F_@bCo_x0017__x0012_8_x0008_@n¥!U&gt;Ë_x001E_@)ù_x0005_hau	@Z¥ø_x0006__x000E_Î?iÄiÿ_x0018_@_x000D_ð¾_x0008_½è @-;Mø_x000F_Iþ?8DHê_x001C_@_x0013_:Õc§J_x001B_@*[Èñ%2@:¡á_x001F_Á(ï?_x0002__x0003_cæ·_x0005_Ô© @ÿ&gt;Q,_x0014_v_x0014_@àâ5P:g_x001F_@mQ~ôÅç_x0001_@Ó¥A&lt;ÂÈ_x0005_@CEÝã8õ?_x0001_6~¬¿_x000C__x0001_@¨½_x0012_lY#@~ êd¡[ñ??Jl_x001E__x001B__x0012_@PÆ_x0015_n$@_x0012_°¿bXt4@¼¦Ëã_x0005_-@Îh¦Cÿ_x0019_@Ø5_x001E_\ÿy9@®¸'¥H_x0013_@_x0002_	a¡"@Ðà¤¾KË1@OÊØ+_x001B_@¸¾_x001F_uðï?!P~_x0010_V_x0013_@R@µ¿ÁU_x0012_@ý_x000B__x0011_Ð£?_x0001_Ë¬ì÷?Q_x001B_IC§_x0018_@_x000C_9*ÎÚ_x001C_@z´u©«2@@$êáqi_x0017_@°ØÈÇî?_x001A__x0001_»ÓòZð?¯upçV3_x001D_@_x0006_Â«=_x0008__x000C__x0008__x0001_D@ q¿#_x000B_C@ß_x0002_æ©ìï!@72_x000C_Þ_x0016_@Ln¤Ãð_x0003_@þPJ_!+_x0002_@im+o_x0007_@qL$8@_x0010_+_x001E_µRNï?&lt;4ËÄÁÕ0@_x0010_ ";_x0001_ @âõ¨_x0007_#º)@HqP9øX_x0004_@"xQ	¯_x0001_@oð¨¨ä-@~wÛ1Ó_x0010_@Hëþ?Ïá1¤&gt;_x001A_@Iá\ù[_x001A_@vmíÀsG@_x0005_EVí_x001D_@K¼ßJ_x0011_@Dÿ_x0002__x0015_Þ;@&amp;(_x001B_\_x0019_ª_x0006_@&amp;©Ös_x0003_Ò_x0016_@gê_x001C_äá?S_@iª_x0012_@ös_x0001_OoÇô?,0_x0012_bì_x0008_@¸Tmy_x0001__x000F_@S(}_x000E_B@_x0014_9dÌ;v_x0012_@_x0003__x0004_A+Ó_x0001__x001B_@_x000D_&amp;çÃµ_x0001_ø?ò¡m,_x0002__x001E_@AfÝáo*!@xÏm®|0_x001C_@©_x0002_ê~_x0002_ä?èù¢_x001B_3êð?9ëS3_x0018_7@¾_x001C_ÇÔ_x000D_tÖ?øéwöÄ0@Øè°Õ@@_x0013_HQ_x0011_ÂÃÝ?³Nqvã?wKr®Ì¡ @O_x0017_µ=_x0001_)@¸*³´&amp;I@_x0001__x0013_r`_x0008_@ÕÞfß:@9Lðkø @_x0014_ 2@_x0005_$@_x0006_b_x0014_§uî?_x001B_Bx_x0007_V_x000E_@%U£Â#_x000F__x000F_@&lt;%ùì¦³'@_x001A_Ã_x0011_&lt;_x0018__x001E_@PjåWú/@_x000B_Q~1&amp;0@_x0014_|_x0016_ÒÊ:@vÛ3¶Ú_x0018_@ÈþíVÜ_x0012_@FvY_x0015__x0008__x0003_@8_x001E_2_x001A__x0001__x0003_ú,_x0005_@"r_x0001_ò ú?oÞ};/@×H©Åsº_x001D_@ ò ´è?_x000F_^hAP7@Cÿ%ÔÐt_x0018_@_x001D_Þ_x001E_À_x0004_j!@ä_x0010__x0012_lÚ(@ÇÉ_x0019_}_x0011_â_x001D_@ï_x001D__x0003_Ä+@_x0015_ó¤b*¼(@Ñ¸³l_x0007__x0017_@_x0006_áÿ_x001A_°õ"@°Bl_x0012__x0015_@_x0011_Öå¥sè?3Yp_x000C_Ð¬õ?Ó0¼_x000D_%é?oU :Ê&amp;@12Êé_x001E_X_x0003_@mÍ@gj*@_x0002_óýï®	@¾´_x000B_­_x000D_#@EHíh Q2@Á²²gz;_x0014_@ÛrÃ_`ì?	ÑÉqSÂ?ðÙ_x0018_E_x001F_(@_x0017_õo-ã	*@b®_x001E_æ½_x001C_@ÌÆÑ¨_x001C_!$@êù#ÇÎF@_x0002__x0003_¼ýIp_x0005_@ä_x001E_¯_x0010__x0014_C_x0016_@_x0004_Ô_x001D_*B{Ä?ë?ûaò?$«8)ëÜ_x0002_@ñh_x0004_é_x000C_@5Z´Mê?ÚÌ«Xô_x0012_@-_x001B_à­:ù?¥èÂº¤9@_x0004__x001F_y6	@íêÚ¶½ê?¹]Þßù^8@2R¦b!@_x000F__x0015_Ô\n_x0010_@lFX¡s'@Jfz¯"@,S+Ë{ñ?_x0013_ñúX_x001B_'@¤_x0001_i?yÐ_x001A_@99Í®-@Ã|4_x0010_@_x0001_@ßËµ2$8$@è_x0018_2óÁ_x001D_ @Ý¿µä|ì?U_x000E_H±Ã^_x0018_@ÚÚ=&amp;.s&amp;@à6Ój,*@?AÝ\¢¨(@ìÍ¯_x000F_ºÍ'@«_x0004_ä8_x001A_@økÅ³_x000B__x000D_?_x0018_3@n	_x0018_._x000D_ê#@e_x0004_×t`]Ë?{Øk05_x0019_@_x000C_ÏTãÇÄä?_x0019__x0016_Ó¢G?¨}_x000D_%._x0018__x0013_@Ì×Ëæù?'7Fù_x0014_@OMý×t´_x000B_@£ÊD_x0002_#V#@Le_x0016_m_x0002_@Rn®'_x000E__x001B_9@¿_x0017_ÿ9¾_x0013_@_x001C_­/Í¥Âý?©_x0008_Ê¯_x0001_@_x001D_wÝ´d_x0005_@ M0Yí?ÈD_x0012_Cü³_x0004_@_x001C_åÝs @àÕuÔÃ´'@^¨E¸eØ? _x0002__x000F_V6í?8æã_x001A__x0007__x000B_@U:öÕH_x001E_@røè(­74@	GÙº6(@&amp;ý_x0003_ÈTP_x0006_@&amp;ÁM9¬_x0017_@=^BQ­`_x0006_@_x0011_¨Z¨þÄÛ?ZÝN¸ÕÉ"@_x0001__x000C_¶âN·_x001B_@úÏ_x0005_ 1@¹tCwúå¥?HLÅ_x0008_C_x0014_ @ÔÉÅ³.@ÄÆu½ð?bÏÛº_x0008_@_x001C_ÿ_x000D_._x001D_@10_x0017_à×_x000F_@Ì	÷Õ¦_x0007_@De%+0¶à?^©h´|Ù_x000B_@¦¿GÌF!ê?«¼¼oxê?òê®¡õzÿ?º¾ÓÓ0)@9_x0010__x0004_é¹è/@²åR_x000F__x0003_@&gt;ö0·\_x0005_í?blô¿f!@_x0016_¬ì¶_x0003_fÏ?ú´âè#_x000B_@âÕ½èùö?ae~¿ö?`}C_x0002_|_x001F_ì?¶´?Ô=ø?U ¸ÓµâÖ?á^²{Ïä_x001E_@_x0006_9("ó¼ð?Eê_x0006__x000F_¥â_x0011_@À_x000B_3_x001C_%Ê_x0010_@_x0001_´æ_x0016__x0001__x0002_´_x000C__x0003_@»Uk:¬ù?#a	æóÄ_x0013_@äô"_ej_x0005_@_x0019_O&amp;_x0004_äG	@_x0002__x0019_÷ÕÃ^Ð?¬yZô«òÃ?_x0013_3C©÷tò?å&lt;Á®{W#@²W¹o85ð?B_x0012_ÐÈðê_x0016_@ag"Õè_x000C__x0014_@_x001C_ÉJ&lt;F @½)«_x0007_w_x000B_@ÓÀ)½_x001C_@ O´ÜRÿ~?_x0015_vÿ!_x001A_@½¯fA	v_x000E_@:×T_x0007_=a_x0012_@aÎg¾â¯_x0018_@xë&lt;§£tî?_x0018_k1!Vß_x001D_@T­bZ_x0006_Óþ?eÙFèä	@wtùää5@z1ä£_x001A_,@J_x001D_@øaá,Ü(@Ð£&lt;_x0014_@Ç§0\._x0001_@_x0006_s·_x0010_é«_x001E_@XÒ ?_x0005_ñ_x0003_@_x0001__x0005_©¢ÆÎ_x0004_@_x0007_@r{|ß?Ã_x0006_K_x0006_^_x001A_@_x0001_¹O?·_x0007_ý\_x001C_u_x0013_@u$_x001E_}À_x0011_@oJåùè?tÌ^ôÌ_x0008_2@½_x000F_Ð¹_x001D__x001B_@éÖ1cæ_x001E__x0001_@R_x000E_bÓµ_x001B_@¾?ÀX_û?;Ïµ}à5þ?JÆ{¦jð?²"FÎø_x0017_@$ï·u_x001B__x0017_@nÐÎGVA"@]+µýØ_x0001_@_x001E_loç¼©_x0015_@±_x0003_¾_x0006__x0011_ã?´PëPÖ/b?È{T¨__x0017_@NM]¿{_x0011_@_x0007_àW_x0002_@3¶ÅW¥ìþ?e_x001C_×Á$@Z)ê#_x0006__x0010_Á?oè_x0018_/ @VVL_x0010_ü_x000F_ó?	[NÞÝ`_x0010_@Ï_x0019_pAËü'@f²l_x0001__x0002_åÌ_x001B_@óÈKXWÊ?z_x0018_)#K_x0016__x001E_@I¾¯ñ%@WT_x0013_Öø?_x001B_óD0_x001C_@8è¬Ø?_x0007_@_x0012_öÙ_x0003_\Èõ?_x0013_§_x001A__x0006_b_x0013_@Cq¿Ô_x0005_@[ýÀ_x001A_ÜQì?$PX&lt; _x0003_'@éË!/ó[_x000F_@PÕ	Å½ú_x0012_@ù«	¨ÿ´ç?J\©&amp;_x0014_¡Ù?2_x0015_á­7UÛ?cÜ_x0017_8ºïó?óSzLûóã?ÈÇ|7¶_x000B_@°_x0018__x0007_h©_x0005_@²ãv_x0016_ùèó?)éÖ#ÿ¼_x001C_@^2J_x0018_GÝ?ÍZqsÉ_x0018_@­N æ²ò?_x001F_K½¡ìxø?ùh®Ì_ó?}w¾ä_x001F_@?µ:Ce0#@Â#9_x0005_U_x0015_@Óú°õ_x0002_@_x0003__x000E_hoSEîó_x000F_@6p¥ðØ_x0003_@Ð_x000F_g#_x0007__x000C_@Í@·&lt;¦?_x000B_§h(0¥_x000D_@_x0018_ùJt_x0004_Ë+@¹¬©èé_x0004_@_x000E_Ýêxc_x001C_@}_x0001_£ÿTÊ_x0012_@!*¢¤Ã_x000B__x0012_@_x0001_Ì}÷?x³}_x0002_An_x001F_@WA¼_x0006_êò?Ã]2~&amp;+_x0014_@#_x0004_ºâO_x0013_@ºíMÜÍâ?9Ó Ú_x0015_*@r_x0008_ô_x001D_xô?Dç-$Ubù?¥ïFê3ö?±ÑLy_x001F_@­Ïmñ·_x0010_@?Û]_x0015_?_x0013_@-ÓÀj_x0016_Fø?ÃeèÅ_x0016_j_x0007_@zO_x0017_¢ªú?-ïþ&gt;üÓ_x000D_@åQßÂ_x0011_+@_x001D_£©y_x0008__x0005_@F_x001B_¹_W0	@¿æ¬ñ¯ø?_x0006_ÝÅ$_x0002__x0003_¦Jù?_x0015_HÌ*,á&amp;@&lt;¥l _x001F_ @G«&lt;_x001B_²±	@¸'bÇç)@øýY_x000B_$@ OÒ| â_x0010_@áÂíu_x0007_@_x0015_(_x0012_ùy_x0010_@ä&amp;n_x0016_Ê"_x0018_@¬ÂE;_x0010_±_x0015_@«î_x0010_é_x0013_Ü?I¯_x0019_{ge_x0010_@}ðHi_x000E_Ñ_x0003_@ú_x0010_a¯ò_x001E_@Â!F£â_x0001_@ê)o-s&gt;Ô?ßÕ_x0002_dµ·_x001F_@)_x0011_%ÂM#_x000C_@_x001B_ _x0007_â?1w_x0008_I_x001D_3_x001F_@@|Âz_x0014_$_x0016_@B~VÃ?°_x0008_P)Â?sgÏ_x000E_Aã_x0007_@{¤]R&gt;_x0019_ó?É¨3"D³?/_x001B_^	"@Äÿ÷&gt;y_x0015_ò?Ùäãk©?ÅØ(H2_x0015_@_x001A_1°~a_x000C_@_x0001__x0002_|ßy°C_x0018_@_x0014_²õQä @~xóÐlÇ?gwã½))_x0007_@0nç_x0010_l´?_x0012_Tgï_x0003_Y_x001A_@ue_x001A_ÆD«ë?¶°æ0óÈ_x0005_@ã0iÝÐù?Qî}1Óë_x0013_@ê²_x0018_Ê²Ì_x001A_@:éCÆ!²_x000F_@AOÑÐáÇ_x0016_@8R©$Úú2@çuÀ»B_x0007_ø?ÿMÄmÑ_x0004_@ÁZÃ\_x0019_ä?_x0011_¶f"@sÙ:¤ôì?J3Q_x000D_B_x000C_@ãçZ¨!æ?ó	TÂÎ_x0013_@{âZaø?¾ª)_x001A_#@ýrXq_x000D_!@J_x0019__x000D_}¡'@ÕåÍ_x0019__x000E_@e_x000F_õpt;_x0001_@+z5«qCà?¿|_x000B__x0010_{_x0016_@_x0018_^_x0010_kèÅ_x000C_@jò_x0002__x0005_&lt;ÿñ?T3#ê¡Ñ÷?æØ³{_x0005_@``%Û\_x0013_@Á¥»*Ñ_x001B_@I§_x0006_cZÈ_x0001_@M*ç¿Ãyæ?Ìw&amp;~	@wNé»*@CûB[Ì_x0012_@$_x0015_m,¾£!@_x001C_e"«m_x0005_@¨"_x0011_~ÿ?¶Dv_x0003_0\ç?_x0002_³ãü4ä¸?åªn/Úñ?s_x0019_ÑòçÉ?èG¯Í_x000E_Öÿ? ÏÞÅ;÷_x0013_@aÌ_x0010_¾l	@5·4_x0004__x0008_÷?Õ×	Ë_x0014__x001D_@_x0019_8C_x001C_ð_x0019_	@±Pw­ó?Lyëyý_x001C_@_x0014_¤2.&amp;?_x0003_@JT_x0006_ªÇg¾?A_x0012_8ÿ=Y_x0014_@_x0002_ZåÆ_x0008_¸¿?&amp;o=g°_x0013_@N,mA½"ú?R§_x001D__x001F_ß_x0016_@_x0001_	V_x000C_¶8E_x0006_@¿æ§oân_x0012_@ÔY_x001C_QcËö?¨Ê·úÐ0@sLF¶ý_x0011_æ?¨yY`x1@·üª_x000C_6.@u_x0008_ªiõ_x0014__x0011_@áÛIÒÛXõ?þ¤Lý´ëû?fo8g¿Y+@u[ôi_x0015_É?5Í[H{ã?¤ì®_x0006__x001F_@­T`g_x001E__x0002_@Ê_x0007_vÝ+Ò_x0014_@á_x0016__x001D_ÀT_x000C_@ÄÜu!um_x000B_@	Vs¡)&lt;%@08Hß¯ç?_x0002_m_x0019_Á_x0012_²_x0001_@.ÁSÌÕ?ëªsqÃ_x0016__x0014_@¼¯·»É_x0011_@&lt;Ñ¨T»_x0017_@|_x0001_*°J_,@DNmgj%_x0003_@_x001C_Éþ^_x0018__x0017_$@M^6ÁËô?\_x001B_¿µ_x0005__x0005__x0001_@^½Ä_x0012__x0015__x0004_@5weÄ_x0002__x0003_Ç	4@¹_x0003_ø³Ø!@Á_x0001_Ä_x0012_°Eþ?M"@GWZ_x0001_@q±TÄ/_x001D__x0015_@_x0017__x000B_	Ú_x0008_(@_x0015_»¸øuç÷?Ú!bG2&lt;_x001A_@°E6 á_x001B_@¦î¾ß_x0016__x0013_@DÛdÿù?ÏcÇü_x001D_8ì?åJ_x0001__x000E__x001A__x000F_@Ð¥x_x000E_Ø_x0012_@4_x000B_¿µìí?{©i_x000D_êôæ?.a_x001A_iµ¥_x0011_@_x0003_A)_x001A_¬Sô?z_x001A_7`ß'9@_x0014_©rûð?_x001A_{Û_x000C_@à=¼_x0011_ÊÒð?Ö¨Ú2®X'@é¥I_=_x0019_@DâhQ#!@°ÚZ=³ð??2ä_x000E_(©ö?¶óWó.¤_x0016_@âÎ½ï;ò?ém_x001E_¤þÛ?ü+YW_x0017_«?ö!ìòÙ¾Æ?_x0006__x0008_Qbé[_!@òZ_x0003_béë?[ASd_x001A_D!@¡_x001D_i9Zy_x0015_@o_x001C__x0010_Ã¶ô¶?9{§¤_x0001_j_x001D_@6î$m_x0005_ @º¿Q·P^"@IC°_x001C_Zc0@f½_x0015_D_x0006__x0015_@Ì)¼Þy[_x0004_@&gt;Ã5È~_x0016_@I8b¦Ò?8Ôgæ}_x0001__x0011_@D ð|_x0007__x0005_õ?`_x000F_Óºå?#æ)KÌ¸_x0007_@l«Ð ù/_x0014_@_x000F_ªY_x0003_¢V+@èo_x0011_ð_x0001_@pºlôB_x0010_@Ä©_x0012__x0003_ùq¡?»ªK%¹;_x000E_@W8a´ @ÞI³_x000E__x0001_@ÐPG_x0003_@p-Úª]ã_x0013_@«ÃhÙ_x0002_@^äz±Ûj_x0001_@`ÇR¾_x0012_@ôÙà²y_x000B_@_x000D_s_x0017_¶_x0005__x0006_Ó2»?:¸¸aÖ	@Ô_x001B_µlÉ(ò?@t/úgp_x001B_@²8M1òê_x0007_@_x0002_ã@N_x000E_@_x0005_/.Ãªµÿ?ZsreD1@I_«°ÛC_x0012_@ÌÖ_x000C_ÏÐ$ñ?_x0017_;vö.ò_x0014_@þwX"Z'_x001E_@SÅý_x0011_´þ?n§í­¸"@w³_4ðê?/ _x0014_ú~Ù¬?ÿ½÷ßA_x0010_@µ#ÉæQ å?¶À¢§ï»?zôåÇ88ý?¿§ÙxK.á?Ü_x0001_ø_x0015_Á®õ?_x0001__x0003_ ülû!@_x0010_,øø_x0010_Fú?7_x000B_:»_x0005_Aô?ß¾ÛAX_x0011_¯?®Ýg ï_x0010_@r&gt;gö$_x000E_@#|aÈ%2@µYNÅûÐñ?_x0008_:_x0004_«	3ã?¡")_x0002_À_x001D_@	_x000F_o»âwÖ_x0003_@$_x000D_áÊM_x0007_@_x0010_÷¯&gt;Ý@_x0015_@0Ä%Lß*@7Ð0Ý¢cñ?_x001B__x000E_íGÆû?zö³/«¢ý?M[|µ,o(@O¡iÉ9|_x0013_@&gt;åèÍ_x0010_K_x0017_@ !×"VØÔ?Ô_x000F_õ»F¨_x0012_@5w"ff¬ã?áA'qh_x0001_@ZRäõLë?&lt;Ä9Å]1@ËLÒyÐi_x0019_@ú«ÁJ'_x0011_@_x000C__x0006_{+Oäý?W*bT_x0005_@¼ïÉ¼£_x0004_@×}ÃêÖ_x0002__x000B_@LýºMn° @PùYXx_x0018_@XÅÓ_x0014_Æê?:_x0016_øÇæ8_x0008_@Øò{B)Ï?0Ü Ð?·V_x0017_þ?_x0004_3_x0014_._x0013_@f_x001C_+3bÀú?G.@%_x0001__x0002_çWº?ë¿\ØlÆ"@ÌyØÔ4_x0012_@è%u°Å_x0004_Ë?÷¶¦¶ué?¼¸¤_x0018_|¼é?Z_x0011_þÕÞ¤	@Ó_x000C__x001A_{_x0010__x0002_@,_x0005_	ñ_x001D_&amp;@Û¼1_x001E_÷ø?ÝÈ_x0014__x001C__x0013_@aÍT¬x&gt;á?º_x001D_°§_x0001_@__x0004__x001C_¦tú_x0018_@ZöÚâáú?«l_x0003_ÑÁp_x001C_@ÚÿM?+_x0006_@Ó_x001E_r"_x0013_ÎØ?9©HY_x0012__x0011_@&lt;õf_x0010_ÿ_x0018_@´Ï#_x0004_@½b´Ë4&amp;@Å¸ ð @_x0015__x001C_'_x000F_$@ªDTÿÑñ?_x0001_º ìú?_x0002_'ø¸¤»ù?äëÚ7Gó?ìÚ_x0019__x001B_µÒ?è2	_x0001_$Gã?Ë_x0019__x0019_ÖüÚ_x0001_@U¨P_x0017_;[_x0008_@_x0001__x0002__x001D_wmÁGù_x000C_@q4Æ«_x0014_Þç?6.KôiÅ?ìwzì(_x001D__x000D_@½ªnÿ_x0007_@áþåÐMP2@Cíýgª_x0017_ù?½_x000B_;"&amp;s%@ä!vâG_x0013__x001B_@)éó»ó?ô&lt;Æºìþ?`äö t"@jNEp÷?!¢p¡_x000C_â?¨Éi®÷Ë?Ë¨_x0013_)_x001A_üý?öÌ/_x0019_ß?hV¢Êì?öÍq¾èð?ó±_x000F_Þ_x0005__x001C_@_x0002_ÿ7¬~_x0004__x0017_@G1pêÂä_x0015_@ÕÁök§_x0010_@S_x0016_¸6_x0010_s_x000F_@i¹_x001B_:m=ï?þ¼_x0013_Í¦_x0006_@²|_x001E_Á:!@å\­#_x0019__x000C_@Rn|_x001E_Á£Á?þli:°0È?,¾t_x0016_=[ú?_x0004_	¶`_x0004__x000D__x001F_ò_x0011_@Ìs!³_x0002_	@/Â6$_x0001_aí?Wîi²Ô?$þK(,_x0012_@KåßáÈ×_x001F_@$_x0005_Ë_x0010_«_x000C_@ÎÑÖ´.@ +_x0002_©Có_x0003_@þ!MÓ¼_x0014_@ßÈ	_x001F_|*@[&gt;#_x001E__x000D_@²ûõk_x001D_ü?Ú}^ó~©Ú?={ÖÒþß?_x0007_êÚiM%@¬.UiüÇ_x0014_@K¨ß~_x0017_L_x001D_@_x0001_!gÐ¾_x000F_@_x0016__x0016_R_x0006__x0017_!@pªõf³ü_x0011_@Æsf«ÂÅô?ãïG_x001F__x0018_}ó?5W§7¾¼_x001A_@¬:Óùå)@_x0002_ËC_x0008_Ó?¾1b_x000B__x000B_¸$@_x000C_ò,r&gt;_x001F_%@w®ðoü?QZöò ðï?=9Ö2N7÷?Õ¼²!'Y_x0003_@_x0003__x0008_ä+Àk_x0007__x000F_@¢tu¤_x0008_tü?_x001B__x0015_â3eæ?cl¦íD¸_x0016_@Rõ÷_x0017__x001E_,¥?5Sk_x0007__x000F_@ð¼¸²0@®v¢@ûÕ_x0001_@ÆÆz+tY_x0011_@ø_x0005__x000E__÷_x000B_Î?ËÖý¿ä?_x0012_B3Ì«Ç_x0003_@}ïâÑ%¹)@&amp;_x001B_®Õ¨»?_x0001_IÍÚÓü?È4J!_x0001_@+ mk£_x001A_@JÝgo_x0011_@Ñ"¦%@öÙÓñ&lt;@GK,ëÎ¿_x0008_@·_x0004_IÝ_x0002_@ªÉeÝì_x000B_@å¾ktù_x0003_@_x000F_j_x001A_#_x0006_û?Yup_x0016_&lt;_x0016_ @?Ýý¸_x0006_@ñ²{ø"_x0008_@O_x0014_-Y´Õ?£_x0011_!£®ô?v%F¨T_x0008_#@iíTi_x0005__x000E_X&gt;_x0005_@EÕ_x0017_èç_x001C__x000B_@ÿÞc_x000F_mÀ?ªíæ_x000D__x0002_@,_x001E_ãB¶_x0016_@¯&amp;_x0003_ðµ_x0011_@iÇP·Q¸_x0002_@_x0004_ãT~©_x0007_@Ú_x0001_	µ_x0008__x0018__x0007_@Ly:Õj_x0002_@LTQµ¶CÇ?3z_x0010_´ì__x0006_@_x0017_6j±©"@DÑøBG_x0001_@tÉw_x0012_mý?`tñ?%ø?¨×_x0013_¶H_x001E_@iÁ_îNîô?/¶JÍ_x000E_Ëí?_x001A_ÕcCä?/l_x0005_Hvª_x0001_@ÿp÷5ï^_x0012_@Ó_x0015_TU_x001B_@t_x0018_ó_x0016__x000C__x0005_@pDÚpÌ_x0002_@UrÂ#,Ð?_x0001_ù_x000B_îJt_x000C_@0¡»ßï&amp;Ñ?_x0018_Ê	×¯õà?WãIO_x0016_@Ûúdõ,@_x0006_$IÈóN_x0012_@_x000C__x000F_§µ	ÉÎ¢_x0017_@a_x0019__x0019_S·Ã_x0007_@_x000D_AQ,"@Er_x000F_³®µ?LBîôö-@¤ØR:í?Æj_x000C_¿×_x0008_@£_x0015_ã_x0010__b_x0004_@j«_x001E_ð63@_x001C__x0007_Î¿§ðò?r`Úf_x0006_ï"@GRp.l@_x001B_@4­áD ®&amp;@MFÖrö$@+^¾_x0003_×±_x000B_@4¥h _x001D__x0008__x0001_@h÷_x000C_¯Þ_x0017_@_x0006_rö²_x0005_E_x0016_@}Â¹½_x0015_÷?j×¥_x000D_Áæ?óhÙß_x000D_ö?ýÏ__x001F_Ä±Ã?öOµ_x0016_´Xö?_x0016_tÖ_x0008_1_x0011_@_x001D_ö1ÈCÊó?6_x0001_6ÑÜ?H£®ü_x001E_/*@?àm°_x0019_@û_x0012__x000E_²^_x0002_@1_x0010_´÷_x0012_óÐ?Ämã¸_x0004_@_x0019_¬7ü_x0002__x0003__x0011_@_x001D_£±v»q_x0019_@_x0010__x0011_@nïW_x001E_@[o!í;_x0001_@_x000F_û·ÊÙÙ?íPs3\6ê?Wù8×Ö?Ô2_x0010_@Vñ@Jé,è?¦¸ð¾Ì_x0017_@4§üàC_x0019_@N¹é1(@ûòcßûV	@+Pôká?z_x0017_éÃïp"@_x001C_\jêÿ(@[2\_x000F_D£÷?Ò_x001F_õÆs:_x000D_@_x000E_§dá?ÑFGì?z_x0002_@µkcÙ¬¥_x001D_@.Òn_x0008_ú_x0007__x001A_@,_x0006_ÞÙ_x0017__x0016_@4E0\tOý?®LÛ$¶¬ò?ÌÐ*ñè_x0002_@Iye/8&lt;í?1õ0«BL @Qö_x0005_¡_x001D__x0019_@î;ùÍÖ @Æ0Ù¬_x0014_@ÄéO=_x001B_é?_x0003_	VÑó;±_x001D__x0006_@Ç"_x001C_wú?BF·_x000E_èà?þ`&gt;_x000E_eE_x0004_@Ìß¬lçÌã?híp_x0017_ÄH_x0011_@&amp;&gt;¿«¹_x0012_@F¿X¸«!@_x000E_q@é_x0002_nü?P£ü;_x001C_Õ?uN+`ô?Á_x000C_&amp;»|_x001E_@Yk^«Bp @éº²ëJ´Å?­4_x0002_ñ_x0018__x0001_@)_x0007_|_x001F_pC_x0017_@G»¢Fw©Ä?&gt;â;U_x0013__x000D_å?ñãÐiZS_x0005_@ZÎÖ,nZÜ?knIS6ù?¤Åþc-@;Ó8_x0012_T·_x0001_@µrô_x0016_ù 	@ÐKP:Mé_x000D_@bÚqwLö?{âö_x0016_"@°s&lt;°µ(@`^_"t#_x0008_@Ðyýmfë?5åh©Rc?þ© _x0001__x0002_b_x0001_@_x0011_a@Ó_x000D__x000E__x0007_@0Û¢_x0003_¿¼?J_x0001_WrQ_x0019_@d¨`Ko)ý?÷éÞ@í_x0012_@ÐT¿Ä+_x0010_@ß/T_x000D_@ÑVl-_©û?¨_x0003_e_x001D___x0011_@þ¡ß.=?ïrUx4_x0012_@Õª¡_x0010_ô?6&gt;Z©7_x0012_î?»³å`º×?L7:±_x000F__x0018_@ÑïK£8Æ#@h4@¨iå4@\®t¤Î @9§+k3ñ?g0´õ?ó_x001F_t_=ò	@_x001B_é/½F_x001F_@Ñ+ÙZäý_x0012_@e8|Y]ò_x000E_@îGZpE#@¿\Ó_x0004_àÚ?©»;q_x000B__x000B__x0019_@_x0010__x0018_å#¡Â_x0015_@ï&lt; §Âj_x001D_@)ìå©O³_x0010_@?fªjä#@	_x000B_¬&gt;_x001F_P	@ 6ÿ_x0011_ù_x0014_@åÿ+_x001A__x0019_-@Zýï_x0004_nî_x0002_@Ä)êKL_x000B_@L3#y[kè?¾(Ç|È6_x0004_@o¹W_x0019_°à_x0005_@_x0001_ïd=_x0011__x0015_@_x0003_¶K_x0004_ðû?L^¸Ly_x000D_@Ð*´ÎÜö?Þ&amp;â&lt;û@_x0011_@¦¸|_x000F_å_x0005_@_x001C_ø?ä_x0007_ö?QY¸¶I_x0003_@°¤_x0008_Ò°?ZÐ_x000F_}}Þ_x0019_@p_x0010_ÈE_x0006_@¥N²ÑÈ_x0018_@¥_x000D_³±ï¦_x001C_@_x0015_Þ/p_x0004__x0006_%@¯t¼hã_x0014_@eå_x0004_wsDõ?³ÀÜèmù?_x0010_©ªëK_x0006_@pËH0kDÿ?:À§3_x001F_ô?°9H¿Ïï?)pú]¿)_x0017_@­AÒ_x0013__x0010_@_x0007_Jq_x0005_	_x0013_å_x0008_@xXòÀ¶5@Èd6ìÊ_x0003_@åNêk_x0008_@,{-Ã5ó_x0016_@ZHt2½.	@_x0018_.å_x0017_p6@d'_x0002_¿iÓ?'_giÃ)ð?zwZ i_x000E_@_x001C_Å3K_x001F___x0018_@_x0017_æÁôÃaç?×_x0015__x0018_)Gt_x0017_@ÀWÍ^_x0008_ò_x0001_@O_x001C_õ_x000F_@_x0014_p­Þ_x0003_Á%@K°_x0002_ì®´+@­!ú¼Æzë?_x0005_òñjtÒ?M3(¼Ì?yL_x0018_­3³'@Ô _x0013_üÛ8!@ÜVÝwø_x0007_@=#N¡¯_x001B_@¥zÅyÔô?³»±_x0008_ý_x0015_@-¼_x000D__x0006_ì_x0004_@jì\©âeÞ?å &amp;)_x0014__x0008_@_x001F__x000B__x0001_%½_x0010_@w+÷ßsS_x0019_@Öùú&gt;o÷õ?_x0007__x0008_éóDþ @ýñ_x001A_Ò?ib®Ê^_x000D_@ZÏ#­ê?Û9íS_x0015_!@°_x001C_úÄêò_x0017_@HC¯¶bÿ?þ/°ñÿ¡â?©ån_x0011_@_x001C_6_x0014_ö_x001E_l'@_x001B_._0F0Ø?SØÔ _x000F_ó_x0006_@_x0003_ÜOC_x001E_ý_x0004_@_x0001__x001F_aÑ[Ë?&amp;î·Oø[)@ÝWså»Þ?19òØËvÓ?_x0013_1|'þ?!åe$¦_x0003_@E¶¿ËL_x0013_@ÜC¹_x0003_@¢®FÝ&gt;â_x0002_@¢¤_x0013_ )®_x0005_@_x0004_©_x0016_î°«ï?÷Ð7y6_x0011_@ÖF¶_x0019_'=â?A{Yd_x0015_Ð_x0010_@U2õB1û?{_x001A__x000B_A_x001D_Ö_x001C_@8±Ü_x000E_ß?_x0013__x0001_!_x0010_Võä?5X_x0008__x0001__x0007_w_x0007__x000E_@VG:L+6_x0003_@f_x000C_ññ_x001D_@«²õ÷4µ÷?_x000D_j_x000F_aËk×?#_x001B_8Ûâ_x000B__x001A_@;%Ö9Ñ?ª_x001B_q_x000E_Ù_x0005__x0006_@5R_x0013_;-8@~nðz_x0011_T_x0010_@Èz_x0007_¢ÿNî?dRÂ_x001B__x0012_@ü_x0012_óp?_x000F_@Ã÷KøÞÑÓ?7ñzq1 ÿ?÷DÂÅ-¯_x000C_@&amp;_x0003_swû?ÍR}_x0019_O_x0015_Ú?Å°¾HV_x000E_@_x000B_LÄd	)ç?¶bÇ_x001B__x0004__x0010_@íÞÌÁ*_x0004_@®,_x0005_°Âáõ?$ÝD"o_x0006_@&amp;V¼GDþ#@=c0»x	@A¦_x000D__x0002_@åcÑE_x001A_(@·òÅÿyÕ?ÅYtSð?Y½y·_x0006__x0008_@jÉÞfùû?_x0005__x0006_~8ïCi_x0016_@«ù¨0K_x000D_@@º!_x000E_@$@dòÀì?_x0010_&lt;zo]?ó?è_x0012__x0006_§gõ?#Ô£?Áf @¦üÙ5R_x000D_@Âü­Ûup_x001A_@Ë¹_x0010_)èHé?Ëz_x001F__x0013_Á_x000E__x000D_@ñÓ_x000F_`Î_x0012__x001C_@´_x0019_]}²Ñÿ?ÑÎ-¦Àd/@;9O¿t_x000B__x0010_@}ê?¾$ü?²³ªE&amp;@~t_x0005__x000C_ìé?ïÈ_x001D_»×_x001E_@e7z"_x0002__x0003_@#¦_x001C__x0008_CEÖ?mËÚ¸Ø?É«]¬_x0008_@A¥4_x001A__x0001_ú?×HÝ%E%@/ÃG[t_x0004_@äæúÉ3@x®	±§_x000E_@ÿ}0_x001C_ÇÄ	@Ôà_x0018_ºò?±ÄÏQ_x0002_@(# _x0005__x0001__x0002_Hq_x0015_@ô_x0004_úB_x0008_@ c¢Vèå?§k«sj_x0003_@J.Z²åÑ?ÆÑ¾_x0019_Ý?E_x0006__x000E_gë_x001A_@L'K¹¶D_x0015_@óÒ_x0011__x0002_y_x000B_ÿ?äû(_x000B_}_x0006_@x1e_x0013_AÌò?_x0012_Û2kzVü?_x000E_»ùA#Ô"@_x000C_Tn_x0010_¯=_x0005_@_x0004_¬ÅVí_x0003_@_x001F_Úv*±ð_x0018_@E_x0013_È_x0010__x0003_Ü?)MØ3Ø#@06fpÙ_x0011_@Íx.*W_x000B_@n_x0005_¯N¿µü?h¢Ãñ_x0016_CÙ?_x0013_GF3ã$@÷;[©§õ?Z»~!æ_x0006_@ï_x001A_E~µá?Ò¿Y+Ýß_x001C_@wÖC_x001A__x0014_@_x001A_æ¿ù¨î?_x0006__x001C_î_x000E_[Ò_x0018_@0'ì×;_x001F__x0010_@ß_x0015_×l¿ñ?_x000D__x000E_É2_x0014_ë§¼ß?M[O=q\_x000E_@*_x001B__x0008_ú¥_x001F_@Ë§L'2_x0013_@HÅn_x0012__x0017_@jI_x0017_ã_x0004_ú_x0010_@±AÞ¬ª4å?Eu&gt;æ8-@xVw¶E[ð?.çUÕ_x0004_Ý?©Ùþúü?_x0001__x0014_Ç_x001C__x001F_æ?_x000D_ç0ÂËì0@Gsøóµè?¦åV¯'_x000F_@Ì[OBßî?_x0011__x0011_ú»__x001B_@	_x0004_@5éA_x0005_@Ó[_x000B__x000E_då?ø­* | @_3¬&amp;_x000C_@Ê0XÇM_x001A_@ÌJ_x0007_7ÓSþ?,l×_x000F_wà?V¥¶4_x0003_Ú?æ\[_x001D_,_x0005_@:_x0019_²ÌÚþ_x0005_@ ßßè?$®&lt;_x0004_ÿ=_x0002_@E_x0006_È§_x001F_¬#@ÅS_x001D__x0015_ÿ1_x0018_@_x0008_¦U._x0001__x0003_^ô_x0008_@e¶Ý^IT_x0014_@EwÜª_x0007_ð?ÛÞòVm_x0018_@iê)¨=@û?'xp«½_x000E_@_x0003_©Ì×P_x0004_ñ?ÜX¦/_x0002_@*Kí9nqñ?ý¸jòÉ_x000B_@ä-=E^k_x0001_@¾²_x000C_ÛåTÍ?º¦æ_x0014__x001F_Ô%@ äã+ÝÂ_x0019_@	+Ö_x000F_È?V IÚ_x0006__x0015_@2nëê&gt;á_x0019_@ÁY[lâ?*HLZEsC@FÝF%»ý?£Ùº~4ý?}³{Åï*/@_x0001_c49´Ð_x000E_@Ò4Àcï?¢ÕÂ8_x0008_«î?_x0008_&lt;©IÒø?_x0002__x0014_°_x001E_,@âåÃ¯_x0019_'@'íü?V!$_x0005_`ó?ÜÞüà?À_x001E_R;Ì4&amp;@_x0002__x0004_&amp;ià`ÚVñ?À	O_x000F_Åñ?Päî_x0008_%õ?D¿×_x0015_@ò9Týl_x0004_@úpÔ¤,àñ?_x0006_Å±å?J·_x001A_³_x000F_»Ù?_x0015_yÂ_x001F_o_x0014__x0002_@.0NSÍ©ë?Y\à#Ê?Çª_h1Ê?Íä(2_x000C_@KGðî]_x0006_ò?ºxÎ²ÒH_x000B_@0Û_x0001_¹RÃ?%Ìr	Ñ?Õ¹v_x0017_õ_x0010_@ÂÛåpÿ?_x001E__x0016_1 E_x0003_@õiÒçÐ¶_x0005_@_x0019_ÁfViî_x0007_@o¦\Üç?à[|·Ô|«?à1ó:Z_x000C_@©².l¯DØ?õ_x0015_ª_x001A_P¿á?Uê_x000F_LÆ_x001B_Á?BÕõÕ¢?_x000E_@Wú¿Ý×uð?_x0004_ZÛ,q_x0007_@½_x001F_»û_x0001__x0005_%ø_x0012_@0ìÁØ'ïæ?%_x001A_ø_x0006__x0017__x0011_@/_x0010_V_x000B_Ùëð?=í]4_x000D__x0010_@n§Îx;çü?º)9÷ó?ÿÍBòeá?Éø*T_x0013_ð?ößF_x001C_è«_x0003_@&lt;8_x0008_ÆÙ¿Ô?Æ¤Jùú?n_êã×þ?a.É_x0011_xñ?ãz6¸L9_x0014_@mµP_x001B_=½þ?±_x0018_T2+__x000D_@_x0001_y¡_x0018_FÑ_x0013_@°ý±Âj7ñ?Út÷_x001A_5¥ô?³cPK_x0018__x0010_@»:®´ü?S_x0002_oÕí]Û?BµhËÇ?øëDö#Ã?)_x0018_G´_x0018_@_x0010_t¾ä¦+æ?7Î9×âø?¶_x0003_×Ýýä?¯ß¯°÷*_x0006_@Öl_x0004__x0008_§I_x0017_@¢åwÿ_x000C_æ?	_x0016_?óLT9ã?åÕ_x0016_AN¦_x0006_@,,´]çï·?ÑÛ&gt;?óÚÂ??ìöI$_x0019_@.kÝÊ_x0007_@!5Ê_x0011_í?dRu½ñù?KûIðG¤ñ?ýj4_x0012_@»_x001A_s)%_x0012_@¼ÖÔ#_x000F_	ç?Î°"ë_x0004_Ð_x0016_@_x0014_f¿»Bð?bú¿x_x0002_Ý_x000B_@o!óÁü?ZKåÀ_x0014_ºÛ?_x0001_mxâØê?G¤ÆÃhÍì?_x000B__x0015__x0017_B_x001F_@þ_x0018__x0008_bý_x001D__x0015_@"&lt;_x001A_V_x0005_f±?å á_x0007_Äò?¤{_x0013_Ñ_x000C_@k¾~Öè'ì?ø@Ó^_x0019__x0010_Ú?S_x001F_Ê»¨Ã_x001C_@ëQ`:²_x000E_@Áøe_x000F_Ñ_x000D_@Åï_x0016_^×É_x0003_@óg9âÈ?ó_x000B_.î_x0001__x000C_[_x0007__x000B_@]rm­_x0018__x001D__x0004_@Võl¾ç?/±ÐDú?@ÔQëÁëÝ?MJò6+TØ?¤ø_x0016_ÌD¸?õ³§Ëd_x0002_@c7_x000C_Iuõ?_x0013_m×4+ÜÕ?o=Ý÷ô?_x0014_kß_x0017_@Ý_x0012_çh_x0006_¶ì?»Áç-ü?1cDµ½ø_x0003_@OÇ¶îÏA_x0004_@|@çÜa&lt;î?_x0007_íHLGê?[g·¢Æò?µ[JÒäÙ?U_x000B_ø*CÓ?¥4ëT£È_x0017_@æùyoP¥ý?QÅ_x000F_Å°_x0004_@þ{Ú¾0t	@ÏÇGÍyMÉ?_x000E_&gt;ÂhU0_x0008_@8ÄÃ3¬[ç?°Cüv_x0013_Ã_x0004_@_x0017_¾úm.ä?Õp?+ ô?JÂNu_x0010_ô_x0005_@_x0004__x0006_ônä_x0003_&lt;	@&gt;ÓCaRæ?=ý_x000B_&lt;ô?\'ëHÆ¤ú?®ò_x0001_âå?±³éãfb_x0003_@û§ØDP+_x000D_@¿´ýÖÃÑÁ?Í_x001F_®	~&lt;_x000C_@_x001A_ök2_x000F_Eé?º«_x0008_sÅ3_x0002_@#g_x0018_E_x000F_@S_x001D_æIWÂ?_x0015_Ö-õ$_x0007_@+¨âà_x0016_@Þù%_x0011_°ð_x0006_@=·_x0004_3¹ó_x0015_@Êã¯_x001A_2n_x0013_@¾_x0014_öãäµ_x0014_@ð`´dÁ?Z&amp;¾ð_x000E_¡_x0019_@áò± ¹ñ?$NKWµ_x0006__x0007_@³cö_x001E_FQ_x0012_@^k×_x001C__x001A_ü_x0001_@jû_x001D_ß=_x0005_@ªÖn»?Ý?ÀCi&lt;}[å?}Þ=ì Ó?_x0007_÷_x0014_å@é?óìûÊÙù?_x0010_b0x_x0006__x0007_gø?íßsMÍñ¦?SKQà_x0017_ã?5iYÖP_x0003_@TN'8_x0006_@§õ°_x0016_¸p?*_x0011_§xO¢¥?Ä©3Û&lt;ä_x0006_@=lå°½7_x001B_@%_x000B__x0004_´¾Ú?ïOÆT&gt;]_x0018_@&lt;ûÀë_x0006_$_x0002_@g^«%3æ÷?íÐÊujû?ä×kn_x0003_Û?oal´ö&gt;_x0001_@g­V.Fè?d2¶É¤kÕ?®ã01»_x0006_@Afî^¼#·?Ïv]_x000B_èý_x0011_@É(_x0005__x001C_C_x0019_@üzuÇ$ð?_x001D__x001D_¥mlï?-lÃÑR ó?´©É_x0012_¢Æ?_Âl¢Èò?Èìÿ#ï?_x001C___x001B_»@2°?Ì_x0001_³%_x0015_@_x000D_î_x0017_¡LAï?Wä×$òäö?_x0002__x0003_m0hU°_x0002_@a!§çôã?þ_x0011_SR\¬	@ÈúÅÆ_åÒ?_x0014_AÐð·ô?_x0019__x0004_&lt;4êá_x0001_@!¢ÝFq_x0010_@_x0003_¨îåïí_x0014_@zbðÍzX_x0001_@H±'«_x0005_ý?%}¸OË¥ï?½Ô£{ç?;º²_x0001_ß_x000F_@&lt;_x001D_³Í5b_x0003_@1Îô`è?Â_x001C_^ý|_x0014_@¨À_x0011_òÛAõ?§;³ª^}_x001C_@X$ÎN_x0019_Çó?£	{8qô?®gy_x0003_À_x0019_@GÙ%á×^_x0007_@ÙD ¼Ý_x0005_@_x0008_éoTÝè?/â2â?¯ueß©Çß?9sk_x001A_L_x0019_0@à£Ç¨£_x000B_@¤û«_x0013_^_x0008_@lý}Z·_x001B_@º_x0006_Ó_x000B_[Ñ_x0011_@_x0003_³Æ_x0001__x0014_;Áô?_x001F_}AWÖ}!@pË5U¡_x000F__x001A_@RjøK{¶Ü?iÃ*+0_x0015_@_x0011_Ô	uIWõ?O³zfòæ_x0006_@´b_x000D_&gt;ÇÄÍ?ÈxI_x0003_x_x000C__x0004_@u_x0017_õ_x001C__x0005_@9, #5_x0018_@ó_x0010_¯_x0013_É_x0013_@áµÍïõ?_x0001_FÑ(_x001E__x001A_@ÿý^½_x0008_	@õÒÎÇY	@êBX.rý?ÖÛX(fË?ö	¯YqÈ?+;Í_x001F_äzè?_x0003_TvP3Þ?·¡_x000E_jþâ?rã¦_x001B__x0016_z_x000B_@°Hè,¾_x000F__x0007_@(_x0012_å Î?æ_x0005_} _x0002_Zú?¨$ÖÊÛ?8õ¿2/yñ?{È_x0004__x0013_)ò?ÍPø_x001F_@_x001F_ãÎ_x0006_@-C5!_x0014_@_x0002__x0004_(ÿGu)·_x0003_@K=d¹_x0018_þ?ãùÓ7_x0013_Ò?®ºSá?Ô¬'$)=â?7oj'«ð?®aTgòè?_x001F_S1;/Ýó?wéûìm_x0016_á?hÄCyÃ_x0015_@øLBy5.Ñ?M§=TËé?§_x000B_!)_x001B_­_x0002_@Ðìµië?ÕåQ±ô¿?_x0017_»^_x001D_¸ð?Í,òælpé?\Ã_x0001_f_x001E_¿Ø?O_x000D_Àºÿä?×_x001F_3èd_x0016_@×òþô2Rò??6_x0010_îCb_x0012_@èº_x000C_\tó?àÄk+ý`û?&amp;f¶»'_x0006_@Â{ÄÛ5üð?éÚ_x0007_4þ?§Käò? _x001C_fCÎé?µdknqò?rÃr3\ü?+~Ò_x0007__x000B_UL?¼·kåû_x0001__x0005_@ÊxD^Æ»_x0005_@_x0006_ù	¬â?Ï(_x0002_A_x0010_@àáÊm_x0017_@_x000D_©Ë[ü_x0013_ö?{NC;Î?ÑÙð³ç?úp¨ElÙØ?_x000D_ç»éQhì?¿QÒ:ëÕë?«'P_x0005__x001B_@	_x0016_ø\_x0007_@áGwl¥÷?EÍÛëåPÙ?_x0001_B_x0010_ráN¿?zñ_x0019_	Ü_x0010_@"_x000D_Ï_x0004_­±÷?ýÚ_F+ðú?Û_x0011__x0002__x0015_¿¬ì?]bëyÏ?!.°_x000E_ÿ?ù!ç_x0008_Ä_x0012_@Ò!oå_x0019_ú?~_x000F_ç}ðÔ_x0003_@_x0001_/Aàj_x0013_µ?0ìT?û?	@_x000B_X·¨,Üð?ÊØxÒºÊ?»ªòY)¾Ì?MFÃ_x001A_4Û?_x0003__x0005_æ_x001C__x0010_à¨?[Üý{äì?C&gt;Ö´_x000E_@ìE¥®ì?úlCbfÿ?r±ª¿o+è?_x001E_e_x0003_!Ê®?_x001D_Líga×?ILØG_x0006_Éð?_x001B_Á3Úë?ýýÜ³È_x0013__x001C_@_x0005_k¸ò[_x0012__x0012_@&lt;| _x001B_Ëõ?_x0007_,rD0_x0002__x0015_@_x001E_og¶_x0012_@£``û_x0018__x0008_@_x0001_0ð1_x001F__x0014_@''sß¤|Ð?¶?_x0013_Ó©_x0013_@ÿ%gß¢?×ÿ®þ=X_x0015_@ËSavd_x0002_@_x0004_¬/óý?_x0013__x0014_Kë_x000F_ô?õäãÅ&amp;_x0004_@Õ_x0011_!_x0018__x0002_@SÑte_x001E_@SãøÇêÅ?¯Om%B_ÿ?&lt;üÔä	_x0001__x0004_@FùHK @Û;VE_x0002__x0006_,_x001C__x0005_@¿4´½_x000C__x000C_ý?ß¾_x001F_àÒQ_x0007_@æ0_x0014_#s«¶?:LT=ñ_x001E_@nÐØ¨-_x000F_@_x0019_xïÏ_x000E_À?W_x0003_hk_x0008__x0010_é?àñª&gt;'@UÂiÕ¥ò?ëY_x0002_ä_x000B_ó?Löáxö?æê_x0014_ª$Óö?é´Üz»_x001C_ñ?+_x0014__x0004_ý'?_x0006_0êíÅ_x001A_ß?_x0011_K:/O_x0006_@5JÜv:Îø?Ã÷äuý¹ò?bÅ_x001E_ÓÐ&amp;ö?P³}¶a_x0004_@_x0019_s_x0007_,_x0003_¿Ö?Nv_AHk_x0010_@»ÌR_x000C_´_x0002_@A°z¥_x001A_	@ë_x0017__x0001_æ?½kG-4_x0002_@u_x000C_Û_x000F_;ç?o]_x0001_[#_x001C_¾?°_fåÿÇú?_ñhØ\ãë?×c]&amp;·ä?_x0002__x0003_-_x001F_	_x000C_Ñ_x0013_@Í²_x000F_£F;ð?&amp;5\_x000C_@AW_x0010_Â_x0011_l_x0011_@ñ.Gçð?È_x0006__x0002_Ó¾?Ef×gz°È?p_x001E_"/ÃÆ?@Ôü_x001B__x0012_eÌ?S(åå_x001D_§í?&amp;"p|DÄö?MÐñg6_x0001_@_x0002__x0004__x001B__x0010_ó_x001D_û?X_x0012_õ$Â_x000F_ù?Òõ² m_x000E_@6OÒ5É_x000E_@·ñåQ ä_x001B_@úÚ$ö_x001D__x0003_â?_x001E__x000E_ü_x0003__x0001_ì?/|_x0013_²Mö_x0006_@(ïß¢Äµý?W¼_x0008_&amp;«­Î?Ç­5_x0013_½?BÌà XÉ	@ùLéÃû?¥¶»_x0002_îà?À¶Ï_x001A_©ã_x0004_@¸á´ö_x0018__x000C_@°X*ÚÇûÜ?_x0007_6ÖÁ{_x0007_@eÞºð_x001E__x000D_@ômy_x0019__x0007_	²_x000C__x0013_@û}&amp;Öuêâ?DÁb¬ú?÷ÿ1u/¤?ó_x000B_Fk²å?UÛ±no_x0006_@úÅß´º_x0002_@þMò£bÚ?Äà=1é¤ø?_x001C__x0016_2ÿåô?ý=E#_x0008_"Ô?_x000C_0Õ_x0014_W_x0007_@«6:Ðàï?Ùbs=U$ñ?_x0018_iÍÖ&gt;þ_x0002_@Û8_x000E__x0018_&lt;ý?V÷/_x0005_&amp;Ä?ü¾5F]_x001E_ @_x0010_8Ø,¾ä?!®ì¼ìZ_x0011_@WWw|_x001E_p_x0007_@V_x0019_Ñ#_x001B__x000B_Õ?|y¨_x001A_¾2á?3ó_x0001__x0008_¥õ_x0004_@G£ï-{Ñ_x0014_@WNÅë_x0003_è?VêÓí?x-pÆ_x0017_Ï_x0002_@ç_x0004_§vîô&amp;@A¬.ø?ó8_x0014_d}s_x0011_@z¼'Ã¶tÝ?_x0003__x0004_J¼»©d#@¨äÐ(ß§á?¹_x0018_@§¸_x0007_@Ò¹Ö©Ëbô?°Ïuè_x0008_Í_x0018_@®ULëp½õ?üÞ]G·#_x0010_@ÃÅÓÏ_x0016_@v£°X¬Ïà?½ìüõU¾_x0004_@Fò«_x0007_L_x0016_@¬æ!a"@ù¿bvÙ©â?EÒþ·®ê?ù¦Ä1{=Å?ùÐANã_x0002_@ñÝºÑ±Ù¹?&lt;±WÂù_x0007_@¦u¼DFQ_x0010_@Y¡ðì&lt;Z¼?Rü]G(à?;ÎA§_x001A_hà?Îëåõ5Þ?ÈCßuCv_x0002_@Æ©KfVø?Y­_x001A_û?_x0016_ð±JîÁ?:÷N³oø?G19©0¡_x0015_@º¤ööP_x0001_Ë?½×ý_x0018_~_x001E_Ý?E2ô_x000C__x0011__x0003_©_x0002_@P_x000B_"ÙÐýç?&lt;eä$ñìò?_x0001_`¥ñ?â_x0010_Ìaä_x0019_@_x0005_:å¨à?_x0013_(`&gt;ô_x0013__x0008_@ÁòãLp_x000F_@º·xþeë?ÿ&amp;ê!ÊÁË?pèÿ_x001B_@¡«xäj ²?½ÖñsC-ì?ñëv ZÞ?FHÝrò_x000C_@â	_x0007_o5õ?Ea_x000C_Çeî?³&lt;ÊP_x0004_@¨_x0008_yUþe_x001A_@q0_x0011_¼$D_x0014_@µÆtÂM»?q_x0007_ë_x0002__x0008_kõ?_x0001__x0014_ïÀ1_x0011_@s³!Ý/Ý?F(¬_x000C_ð?´óÕ;_x000D_fó? _x0011_1¬ö?_x000F_cO¶Aè @.µäùF_x0004_@e+É_x0011_ñÏ?hU_x001C__x0003__x000E_@ð},¡&amp;Ö_x0006_@_x0005__x000C_4´´p:òö?,_x0004_9a,àó? |[ÈØ?»_x001F_æ\]/_x0001_@À_x0007_ÙÖ?f3qc_x0001_@r2Å_x0012_¢à?_x000E__x0018_©ä_x0007_Ù?_x0018_c\_x0018_»ªû?$ÜøMäà_x000C_@ÖhÊzó_x0001_@¢_x0001_ _x001A_yô³?Ç_x0002_¡ä$ü?îWjô!_x001F_@_x001B_È_x000B__x0012_ô²æ?Lßb81ó?_x000D__x0008_xÃ-þ?_x0003_Ví³_x0012_ß?Ç_x0007_ð_x001D_DÐ?´uþØíæò?øà\	'_x0002_@Ý¼Â¶ÅÞ?&gt;­}Ñä"@]¿¸ÏäÉ?_x001A_¬_x001C_}6_x0013_@^_x0007_Á%H_x0006_@v«Åú¢ó?8Ó5¦´ß?_x0007_ðäÀÑí?_x0014_^ÀÀ8Kã?eo1ú Nð?9Df_x0006__x0007_r7ó?ª­_x0006_&amp;3À?&gt;àÃ¸4õ?Âé·_x0013_@/KóQÿ?_x0010_µ1@_x0003_@_x0007_Ï¥äÉYÍ?&amp;4KùÕò?þ_x0001_p[äS_x000E_@_x000F_¯þ_x0007__x0002_ó?ÒpÝPû?­_x001B_¶Ù_x0018_@hñ6_x0008_pLß?_x0004_AZçç?_x0018__x001D_45ï_x0014__x000B_@_x0017_n{ÿ_x000E_w_x0003_@èÓ_x0003_Ò/_x0007_@+¯xø9µÓ?·uy©Ó_x0008_@Z~A%;Næ?ËÄ_Òìaþ?Fâ_x0017_ÂË_x000B_@M»¤uÞ?ºp¯_x001A_@K¼âH\ô?æûvß_x0015_ç?_x0012_ËG)°_x0001_@êW¼Ð80_x0005_@¯_x001C_Â_x000D_@_x000F_8/.ßü?wA´¾,	@_x0007__x0006_1_x0001__x000D_[ä?_x0004__x0010_,_x0001_é_x0012_Âu_x0001_@õ]òzJÛú?¯Â}|¡_x0005_@ò4Âóvîõ?9\$Bü?ê¨G_x000F_Aþ?}¹ì3_x000B_@\òSÙé0¡?ð£n¤G3_x000B_@óÉO_x0002_@!_x0006__x000B_ý¸_x0010_@Hi_ú»Ò?þ×ÖG¤_x0006_ß?-V7F_x0002_Ì×?{¢QVF§_x0007_@$ci«Íóõ?ÿ]·Wñ?¹½O¿_x000C_£Ä?Ü¶fÞ¢â_x0011_@NÊt!H;è?*òÅô__x0001_@Ùíê_x0002_¬_x000C_ú?àídJym_x000D_@ÀË@[E_x000E__x0003_@Êbcê	ü?kiRüï·à?§^_x001C__x001A_Ðô?¾Ø×§Ë_x0002_@¿!c_x000D_½?5¬fZàõ?Ì_x0008__x0004__x0015_í?% }e_x0003__x0007_+ð?@Ü|ÐÙcÕ?9{é® \_x0005_@ñ£E_x0015_&lt;ù?ÿ|_x0006_þ{ ù?qx._x0016_Yì?³ÆÇÇº_x000B_@zÓ7ê?+Þ#)¸Âþ?£æ_x0017_ç_x0008_@_x001D_c·è\jø?&gt;Ñû4qQÇ?©4gÝÁXý?_&amp;0.W_x0001_Ø?ï9qÃÔÆû?Q#\W_x0008__x0014_@I'i¤ïú?_x000D_À&gt;&lt; _x0016_@_x0012_fæ_x001C_l_x0004_ð?nzP_x001A_'ä?0îò+s:ü?._x0006__x0017_U`_x000E__x0003_@d_x0003__x0002_"Ýýß?SàO_x0012_9îî?L_x001D_ø\wÓå?/´¡¥_x0007_ù?ÏÏ­aýï?ÇBÆ_x0003__x0008__x0001_@ú.&lt;3í?çJ%öÿ÷?@'vµÙ*å?Òêd»ãã?_x0007__x000B_ÊûÐ¤_x000D__x0013__x0017_@?&amp;_x0003_zàGë?©Û%µ×©?_x0008_ÇÂ¿-Ï_x0007_@ô²U½?_x000F_ø?_x0019_áîÊ¦Ø_x000E_@_x000E_?ø_x0005_Ö?³ñ¥?¨î?çAëÌ_x0015_wå?ñ{c%[^_x0013_@·f½Ê8ö?_x0002_ÎÛm_x000B_i¬?À_O_x0001__x0006_@»åÝ@_x001F_â	@:Ý=_x0012_8¢Å?ìAùTÿÐ?ÙOä¹LÔ?c$/_x0004__x0013__x0003_@ãçíÁv_x0004_@B_x0013_o45à?_x001B_ïàê_x0013_ñ?Ál_x000E_(ÿ?¤Ò&lt;ë_x001E__x0011_"@M@¸_x0017_&amp;_x000C_ò?"+«Öâé?¡\Rû	@Ô[+Û_x0006_@ç4RÚysö?¿©Þßã_x0014__x0018_@ñ½m_x000F_%Á÷?Dº/­ÿ?ùLô_x0002__x0005_?AÍ?û®î0&lt;'ê?_x0017_øUÇ. _x0010_@`yÁ·+ü"@Áð[I_x0011_@76¥_x0001_½é?;Úi_x000B_Á_x0002_î?_x0016_/Ô_x001A_,ë?yâÇîÄ?_x0008_GBÇû¸?x,Ñ5_x0007_@\AIù'È?¸ÓPó-ÿ?^É_x0019_ì¼;ã?_x000C__x001A_¤.Sù?!_x0001_E]_x000C_ @øh_x001C_3ã_x0006_Ó?_x0003__x0002_´xÿå?_x0010__x000E_ò~=å?¯²MÚK_x0004_@ß*ññ_x0017__x0001_@o§¹_x001C__x0008_ìû?_x001F_fÅðÎ?¨lUéù?(b@Ù\ú_x0018_@ÅBibsú?;ùþ©õ?1þµ4¶?_x001C_@c;f.x_x0001_ï?j¶:iÇý_x000F_@È¼çßÄÀ?H}oÏ+ö_x0011_@_x0002__x0003_ýÆöÁxYÜ?ìÕmË·!@®$_x0013_ógù?Ç Äî+Ì?¡0àü¹ö?íÁ_x0016__x000C_p®µ?N¦Hh/×_x0002_@ÒÈ_x0004_%_x0005_¤_x0012_@_x0008_s_x000C_Ü:Dò?Þ_x0019_yWNdú?ù5Ü\_x0003_õ_x0008_@y¶Àµ_x001F__x000F_@Í_x0005_û}_x001E_à?Ý$_x0019_nÑä?% GªB|ù?_x001D_xeBW¨¡?L=ñB°è?_x000C_Ä[_x0007_&gt;_x0017_@CQ´Èzü?úâùëá?Y_x0011_Ó¥_x0001_÷?«óQÄØ8ê?_x000F_`bf³_x0008_ô?·eIÒ?Oô_x0011_ÒËÏÿ?)»6¯§ö?_x0010_¡_x0017_R_x0010_@_vDQÉý?_x000C_[EY_x0016__x0006_@×Å¾Ô_x0007_@_x0005_Ã&lt;Ëîë_x0008_@_x0008__x0012_Yü_x0001__x000C_"Àî?[yoÎ6OÅ?CoØÆæÙ?R¶9 í?_1)À¦m_x0002_@Ü_x0018_×GIÜ?ûÏöÔ«êý?Ä^²W¬þ?Åj¬9_x0006_@ÍFÙR&lt;_x000D_@éT5íu_x0008_@&lt;qH_x0007_D_x0001_@ÀÔæÊß_x001B_ã?êÇé7pp÷?_x0016_N	Ï·þ_x0001_@³­_x0012_=W_x000B_@[_x0002__x000C_ÐéZê?¶èÎ@$@§ÜË_x0004_t_x0011_@«×Ä'úÖ?GSe®_x0005_×?IÃ;rjÖ?ChÕÜÜ?_x000D_ÃjÒ?Åª@ÐÁÐ?ÃiÛ_x000C__x0008_Ññ?_x0015_vA[A2_x0003_@lOr×N_x0001_@eÐ$ÈÔ?_x000D_7}Y_x001F_y_x0005_@øE0Tßô?ðn÷1ÕÉ_x0006_@_x0004__x0005_ifQ]cC_x0010_@_x001B_4yxLeí?ãüF_x000F_gÕ?Ò_x001F_i?-Ôù?,b_x0014_r³_x0006_@æ_x0018_V÷_x001D_@UZT+ú?T_x0002_±¼¢é?æ2Õ¨Ô_x0002__x000F_@O_x0012_q×S£ù?Ã_x001B_ì%5ð_x0002_@b¾_x0010_v_x000F__x0005_@Ê_x0007_â÷b_x0015_é?_x0018_ÚÁ_x001B__x0017_:Õ? 0Å_x001E_ü_x001A_ë?PYsLû_x0013_@_x001E_,9L_x0013_ûé?fÐ@ÔñÐð?Ò±[^ÊÑ?ìm9_x0018_¸ø?a_x0006_¬v~_x0003_@_x0002_@¶_x0001_ãÿ?U[ÞAÊ_x0008_@_x0003_'_x0010_?R_x000F_@M©¬Ì_x0010_¨_x0008_@á^y¸×?¾ÿ_x000F_z%@]8a_x001A_Ä?G±»¿bk_x001D_@ÏòÍáÉ_x000B_¼?5ÕRïÚ÷?_x0013_D_x0003__x000B_Ãï?´/_x001C_ß_x000B_+_x0005_@ÍwÞÈs_x0011_@¡Ü_x001D_Ò_x0010_Gy?_x0018_G4&gt;W_x0008_@BMÂgHß_x0016_@±±N1¿Îà?_x0003_x_x0010_._÷?½Yqþ?_x001A_QøA)ó?_x0007_·[_x0002_Ñ?ñ6ÅBbÏ_x0010_@%_¨'Ê_x0004_@³zè|	¦?7õ!Éá_x0005_þ?'_x0014_2L_x0001_@b28f¸_x000F_@fm_x0019_rÆ?µÞ}×q}á?Ux_x001C_ÍmtÓ?ÀÆ®3¸	@ñ@_x0013_8òñ?_gG_x001E_T´?nJâ=:÷?Y_x0016__x0017__x000C_|_x0003_@ûF#÷_x0013_î?}ô®~T[ö?àÁI_x0006__x000E_@á¢¤2_x001B_Ü?ý_x001E_Z´«gä?Ø¦D_x0017_ä_x000C_@;ª×D^Å?_x0008_	|ÚZ_x0001__x0001_×?fíAìË?_x0013_~Ý®^$@_x001D_?_x0011_Z_x0003_@â5_x0010_Å`MÐ?àÔ,g)QÔ?¶ý_x0002_cÐ_x000C_@ÿÿP&gt;w9_x001A_@	ùâ^ô3_x001E_@z_x000F_h_x0003_ÆÛ?²_x0013_ò÷»Ìï?!§Æ@D·ó?_x0003__x000F_i®Ñ¡³?$ a®qÚ_x0004_@m²²Ä_x0001_@¸ðô_x0007_Æk_x0015_@{tÎ³Îæ?¿_x0007__x0001_­µ^_x0014_@í_x0010_/T£Ö_x0005_@Fg~_x0017_`?tµçlº'_x0003_@Å5K/Úg_x0006_@y_x0007_Kqc_x0008_@_x000C_ö²iï?¥å¹ì_x0001_@Ï¹øø_x0011__x000D_@&lt;Þé_x0002_â3_x000E_@ÑB_x0003_ gî?m×Ýx¢_x0003_@ô5Vwgâ?3rrÓÛª?vÎÔ_x0003__x0005__x0018_Yà?]MLÑ0_x0010_@U_x0007__x0013_Ï»_x0011_@¶T%Â+÷?ý­ç]³_x000C_@_x001C_«î__x0002_Ã?§ZªN%_x0011_@ÉÃ_x0001_pÙðû?UÁ9Áü?ÝXÉ_x001A_õ?i0_x0004_ó+H)@?NáãÇ?n¹]SØá?ÚÌuQft_x0014_@`]Ô'p²_x0011_@§v_x001B_+5Gñ?_x0002_¿|ï?Xá?÷b ý´:ô?_x0006_nìCEtä?¨ÒÜibÀÃ?)ÊZÃD3_x0011_@tC_x0004_e¶?Ã»_x001B_²þô??nÃ_x001D_cñ?ª}j¦Àã?nò)K0±?Ýêx°ô&gt;ç?¥ÁÐ6¯J_x0002_@æ.H\â?o#Ä"N_x0012_Ð?bÍ±¿È Ñ?_x0011_ïÄ+¸¯?_x000C__x000E_¼¼¢@vu_x0004_@JÉÑ_x0001_Yò?«_x000F_1$Æ_x001C__x0001_@á+yÉ	@Ð9ëØ«ÜÑ?¢-Ä"?µöbèç_x001D_@_x0003_xé_x001E_µ_x0016_@Y_x0007_NBôØ?Oe_x0017_;Ô%_x000C_@å¢Cì¢	_x0002_@ù-Æ;ùz_x0005_@ÙAC	ý_x0010_@b&lt;__x0005_+$ð?Vöëúê?{ÂFjèª_x000D_@e_x0003__x0001_ÖG­º?wó_x000B_Z_x0008_@_x001B_ó[êæÕî?xüR?¦tÉ?_x000E_ÕÎªÑÝ?ÃªÔ§_x000D__x0006__x000D_@_x000C_ç0WÉ_x0017_ø?á£Y*f_x0018_÷?¶_x001A_&amp;_x0017_÷?._x0010_zî¤þ?GRÓ¡è?}_x001C_¦NH»ù?X(äÈ_x0004_ö?÷_x001B_ô6_x0011__?½-{VÞúø?ýå_x0004__x0005_zÔ?_x001A_àçJ6_x001D_@_x0002_m_x000F_×û?éO,Ä¦E_x0008_@2vÃ×®Ñ_x0012_@ÃtÒÜ¼_x0010_@ÂRëQ?æ?A5í'Ñ¨_x0001_@ú«_x000B_êê?¥Åx_x000D_CÖ?Da3§=Ú?(	ÇEÞø?uB¹»DáÓ?_x0007_dEðê?_x0001_¤_x001F_Ü/,_x0004_@ò&gt;_x000F_ã_x0003_@Û®/	~_x0012_@¡Ð_x0011_ý?/ÕåE|dã?þPÇzPé°?_x001D_¡'Ó?»7;¦9_x0015_û?_x001A_ÁF@ø?¬Â_x000B_p.Ù?¨_x0006_ðcä·_x0010_@_x0002_ýÍ«ò®_x0007_@Ô_x0011_vè$ý? .2	Mó?W¢Oæ8_x0016_@àX)AGrå?&amp;jK_x001D_UþÛ?Â¬_x0012_}YGô?_x0003__x0004_#·	_x0003_ÞuÚ?°_x000E__x000B_N¥ûþ?Éµ¦`_x0008__x0019__x000F_@¼M	Ø_x0013_y÷?¹ïY_x0007_Fö?ø`àÂÄÿ?±T£êáâ?|_x0013_¬GØgð?,Äñ§²(!@p¥jù?n'ð¸â_x0012_@LÐ-½â?&gt;·¸ã?·¦}/q*×?`LiÚþò?ª_x001F_Åmöÿ?_x0003_Îví?_x001F_s²s$ò?4¢u	ã?õá_x001E_ñ%4_x0013_@EÐú¸ó?¦½äAFzæ?_x000C_&lt;PÏ_x0007_)Ò?_x0001_ä­¦§£_x0002_@_x000B_ ¢UÉ @B 3k_x0001_@r4ä?åL|D­_x0002_â?ôÝ{Ñ_x0011_y,@_x0006__x0016_I¶_x000E_=º?&amp;~·T_x0005_@t_x0003__x0008__x000D_u»_x0001_@ÍÊ_å	p_x000C_@ÐpSØË_x0004_@zÁ&amp;é´_x0005__x000C_@Ù÷¡0û?×Ä'Qô?äÉAQ3]ý?_x0003_ºóT_x0002_@|×DJLÑ?ËÜz&gt;C8í?4©Ä8_x0012_@ök]WG÷?|PFÑ_x0017_@_gR¯À_x0007_ä?Ô=µÐ?²ÎÃm!²?O2=4_x001F_Ö?_x000D__x0005_OþÑDÏ?©h_x001E_Ú_x0001_@'AIÎÅPî?l/ÓÂ?³ml_x0006_[_x0016__x0002_@jä´]_x0004__x000E_@ÉNóvÚä?Í_x000B__x000F_*Òï_x0015_@Cû_Ã?_x0014_®_x0008__x000E__x001B_Ùô?Q àÙ¬_x0012_@´©öo#Ñ?¡-%_x0013__x001F_@=zì´ë_x0001__x0014_@^Jp®_x0008_	@_x0006__x0008_m)_x001F_J1Ò_x000D_@	Qeª_x000B_0ð?xvì_x0010_p_x0005_ò?_x0006_q_x0005_û9_x0002_ÿ?Ü	ýã,×_x0017_@.D¥ý6	õ?e_x0001_óÔå	@¸´ßÙ_x0006_@ïèÎ:Ð¯_x0012_@zúÃ_x0004_p;Û?Ù÷¨Ü_x0007_ _x0010_@ÈpU_x0007_V½3@_x001C__x0002_è­_x0014_å?v)þ¢_x001F_Ö?_x0010_"ÌFö?_x0012_Ý¢"_x001E_@øAô_x0008__x000E__x0002__x0003_@ÅáÜ¦Xã_x0010_@_x000B_0w!_x0019_@Äç×¢¢ú_x000D_@c¢êQiº#@3_x001A_dÈ[=@î£jïc,_x0010_@ú	T;hé_x0017_@àßcwÝÛ_x001C_@r!&amp;4 Ù_x001D_@¬Xd~¯3ö?¹¡]_x0003_fEí?eï_x0005__x0015__x0016_I_x001A_@wóP4ò?Ö1êt-{_x000C_@çE_x0002__x0003_8£_x0005_@zÏ{!JK_x0008_@ï®_x0003_z_x0006_¥_x0013_@_x0004_³(­ú?§Íü "©ê?ñºS_x001B_3_x000F_ù?¹Ú_x0004_]æø?ñj;XI(_x0012_@`_bJ_x000B_ì_x0003_@_x0019_/½y_x001F__x0006_@_x0019_¾ÆFJù?Ô_x0001_ù.×y=@_x000B__x0014_;QDä_x0008_@2ûn=uõ?_x001C_x}_x0002_þ?@_x0017_÷íë_x0004_@_x0006_ºñ½êô?_x0008__x0006_cÆ_x001B_|	@;3_x001F_&gt;_x0007_ã?_x000D_2«¦ö?Ã¦ëe¦Àó?º×)¬ú_x0001_@ãElSe8_x000B_@_x0015_ö_x0003_ä¼4_x0002_@{ó©fÕR_x0018_@ñ3_x0003_Æ:ù?à·#Á²j_x0003_@Yå")×_x0006_@ìiÃí_x0014_@_x000D_(ö2ýD?@rv¡Ï_x0018__x0010_@þçYíâ&amp;á?_x0004__x0005__x0014_ù7±`(_x000C_@}ç_x0013_ä_x0018__x0002_@¢Ä_x000C__x0004_Ðp_x001D_@5_x001D_Î^_x0012_cõ?e@ì?Ml_x000D_@_x001E_hº~}ïç?_x000C_ÿ_x0008__x0014_Õ$@³:Ød&gt;@ý?³qQz_x0002_@_x0006_}_x001D_þ} _x0001_@fbì_x001C_@x&amp;à­4õ?ÝÝéÅ_x0004_@#Ù$_x0008_Bþ?Ø@QzKÕü?æÎ_x000F__x0010_9_x0002_@Ôl¯³z_x0016_@_x0010_É³¿gw_x0013_@VLWzä?_x000C_rÜü°8_x000D_@_x001E_¡½Ð½hÞ?ö_x0002_7X&gt;_x0003__x0005_@_x0016_ØF$÷e!@cØQã½Ð'@MjLÎhì?êX8ÂÔt(@_x0011_ÌnC®â?á®=²C1"@ÅkÍÊÓ\_x0002_@âØ}þÑ9_x0007_@_x0008_¿ëÀv_x0005__x0007_@«ãð_x0005__x0007_Ë @A¶ì|û_x0012_@§h_x001A_ù_x0019_@Xd3_x0012_Õ?ÆPãS_x0010_@ëNGåeRý?y_x001E_@Æi_x000B_@*D]]íà_x0013_@]vÐ\_x0016_@Ø³_x0005_&amp;_x0006_@4_x0012_êÔ&amp;Ü_x0016_@_x001E_ ªÿC_x000E__x0004_@=E­_x0017_XÄà?â8¥_x0004_|_x000B__x0003_@ÿBº2Ìñ?M:À0V_x0008_@M_x001B_Á»_x0002_@ü_x0019_SL-_x0001_@_x0017_ë²í_x0012__x0003_@:f¾r%÷?(mð/ü?2WD_x0007_jÑø?Å,Ên_x000D_@,ÆV¢¦þ?_x0007__x0007__x001A_w0¦_x0008_@@O¶uÐ_x0008_ë?ÀG_x0014_ðyï?Z¥ÊÑ)î?RUÊ_x0012_Wë?_x000E_n_x001D_y-_x0018_;@*JÆÞU_x0004_@B$t_x000C_²3@_x0002__x0004_§_x0004_{sP_x0012_@s*Ø2§É	@¿íb« 2_x0014_@ÞöÚïâ_x001D_õ?0ÕðR_x0018_ÿ?XCÖ-_x0011_ _x0014_@é.ê&lt;zä?_x000B_ÓÆGÏ_x0012_@"\n®¤_x0007_â?.l^¹û&gt;ç?"v_x000E__x001A_Pª_x001A_@¸_x001F_î_x000E_öÑ_x0007_@ÉÅ¤_x0014__x001A_®_x0001_@y#Ãê´ÿ_x000E_@}ö_x0012_ÞÜé	@¶`â_x0013_ä_x0004_@=Ç¡ÔäA_x001C_@Vn_x0018_HÅ_x0017_@$úØçö?Çú_x0008_DåÉÙ?_x0006__x0019_:ëg_x0010__x0006_@â¹TÇX#@%L?Õ=å?Ee&amp;_x0006_r_x0010_@F_x000E_öeË)@Ow_x0002_Õ(òQ@_x001C_ÁOi¿&amp;@yD¹gª_x000C_@å_x001D_»l¾_x0010_@ug¢Ò_x001E_æ_x0012_@_x0003_öO÷_x0018__x001D_ê?¹ví_x0004__x0005_¿5_x0015_@ÑÿZsW¯ë?¨¯ÐýÌ=ê?yË_x001F_îIKø?êH0Rn÷?TH_x0003__x0004__x0013_¯_x0002_@&gt;p é Ï?JGg0_x001F_TÕ?_x0011_¼çoW_x0011_@_x0011_öbB¡_x0002_@j _x0008__x001F_+fê?¢?(PÎ'_x000E_@¦Núê¯_x001D_@`¸D_x000E_@Db*_x000C_ÆÇÜ?ö_x0001_ìMa&gt;ð?ë¬b_x0015__x0003_wL@Oß_x0004__x0007_¾Í_x0004_@8÷k;_x001D_@Ô?J_x001F_É¯æA_x000F_@DÇð)Z»!@Q-Âh¨ A@_x0007_°}_x0003_ÃJà? öÉ`GÆþ?n¶VlÐ_x0002_@1ð m_x0017_¦ù?ÁádQ_x0012_@ý_x0003_h6I_x0014_@o.Û_x001C_jj_x0017_@º|CZ_x000D_7@x_x001F_&amp;_x001E_¯Ú_x0018_@i;_x0019_Ñë_x0016_@	_x0012_of:É4·_x0013_@Ôÿ__x0008_$_x0013_@Ïkïå$@'¼ý @T_x0006_"¾p£0@c+Ôû_x0012__x0017_@Õ_x0007__x0003_¯_x000C_æ?ä_x000D_ç©Ã_x001A__x0001_@/µtÎ_x0001__x0011_@º#ôý«Iõ?ñnüáü$@_x000B_P×_x001F_Ç_x0007_@{_x001C_6Yq~_x0007_@ã2¿H_x000C_´_x0010_@V_x0018_¶Ø­Î_x000C_@C_x0008__x001A_³óhý?/êµì!@£^ËÌr·_x0011_@_x0004_YðýVUã?_x0008_®Zç_x000C_(@2­y¯_x0005_ü_x0007_@_x0016_ _x000E_}2_x0006_@£}ÉÿÕ?LZÛ _x000B_@nïÑxs_x001C__x0003_@±_x000F_cmÜÍ?Bo~Báîå?vjõóUó?K}*W_x0014__x0002__x0001_@*xd1_x000C__x000B__x0002_@ËVº_x0005_B\ö?¢dí_x0002__x000C_¶_x0007__x0018_@j_x000E_!Á__x0004_@És~_x0001_@ù_x0014_´(_x0005_@if&amp;_x000E_û	_x0002_@_x0003_ÏÅ+w_x001F__x0014_@Ý_à`¼ñ?c_x0013_ ¢rò?(Lï_x000E_	@ØMÓK_x0005_@x®øúõ?;_x000E_º6Ò7_x0012_@ÝÔ_x0002_ÝýÛÞ?Â´Ü0Û$_x0008_@r[Ñ.ÌÖ?_x001B_(_x0014_+ò?¼ô_x0017_Gë7@FÚ_x001D_ý_x0006_é?oÍ`YØu_x0002_@_x0010_°ø¨H÷?YÅj´¬ì_x000B_@Ã4À^Üþ?_x0011_*¯rà{5@1p&lt;9¾@_x001E_@g/ðßác_x0003_@¿_x001C_Ö^_x0002_@;6ôU_x0013__x0015_@_x0007_£ 4hÿ?µ©îõ_x0010_Tï?»µ[lbþ?_x000C__x0013__x0008_îa_x001B_@åö_x0018_%H_x0002_@_x0001__x0002_'[øKcC!@B9÷Ï¢,ô?¿*OÕì_x001D_@ßÚë2¸ô?õi_x000B_?û?®«S7·_x000B_@w_x0001_ú_x0001_ÆV+@Ï¼Êtö?ý8sßjmë?Un"&gt;£ïñ?+_x0010_zW²_x0001_@Ê_x001C_ã¡_x0018__x0002_@8_x0017__x0018_E±}æ?_x0016_±C7¢ë?Á*E­ñm_x0012_@_x0013_~­_x001D_Aø&amp;@§~áÐáõ?(¼)ãü?2sIoMÇ(@K³â¶pY_x0013_@fR¬r_x000E_@_x0016_Öõt_x0007_@l/ÏÆ=|ô?wÎéQÜ%@;F!_x0017_û4ó?Z#s&amp;»q_x0016_@¸iAÝ?Ëë÷X÷Øò?kªËX¯_x0003_@_x0012_j_x0006_ ­_x0001_@ú_x0014_Ï$_x000D_6þ?±½_x0007__x0005__x000B_ëtí?	Rh_x0001_õR_x0007_@Ø[jÉ_x0014_@Ý/Ùç°½_x0006_@×*Åroø?éí¥ãâó_x0006_@®¹ÿ_x0008__x0005_¨ô?XÁ_x0016_XÑïà?¼¬`_x000E_u_x0001_@5&gt;ÆáLî?&amp;ô{?_x000D_Ï_x0001_@AÄí_x001C_8Iè?å¿¹î_x0005__x0006_@òê íw{÷?ÏÐ~_x0002_Ãè?mõöja_x0015_@ùòHs:Ã_x0001_@0Àù_x000F_,@_x0010_¿÷_x0003_p¶_x001F_@¾_x001D_óê¦;_x0019_@_x0002__x000C_³_x0011__x0007_ì_x0010_@&lt;$×«»v_x0008_@¡¯¼ê?ùd_x0005_µ°&amp;_x0007_@_x0012__x0005_Ç2µ_x0015_ö?_x0004_D®k»_x0014_@h(ö_x0018_Øëñ?Wu6w'N_x001F_@ý}k6×[_x0015_@é·²_x0003_»¨ò?ØÇ¬µ_x0001_@NMã-/û?_x0006_	ç/ Ò ó	@ºí}Üòë?±úN_x001F_³~_x000B_@.nïÝ$É_x0016_@séåC_x0002_ÿ%@¥Æ#_x000E_=&gt; @ _x0013_¤_x0003_M_x001B_ü?Ú{6×ú_x001B_@0èKr)ë?´:[he_x0008__x000B_@»F_x000E_ùYì_x0011_@¦á_x000E_úü_x000E_â?!vyÁîú?.L_x0007__x0013_aè?P58[_x0007__x0011_ñ?2_x0011_þ«Å!&amp;@i_x0019_*Äè9ñ?_x000C_;ªpPw_x0012_@_x0016_"Ð'ã?Ìö²f°Æ_x0018_@¬½rNué_x0007_@@[ò½_x0017_ò?:=·µÞ!@ú¥7á1@éVëO_x0015_@TÈ_x0014_v_x0005_@ãYC2_x0001_@nÏaP×æ?uÞj4R.@£¿_x0003__x0004_­_Ê?2¦ñä!ñ?(°[ã_x0001__x000B_×¬!@ _x0018_%E¨_x000E_@ÞÕÀ¤-@¤§ZÁ_x000C_@H­4_x000C_ÈÛñ?n[_x0004_F3	ý?R Om_x0002_@_x0017_~êZVú_x0011_@9[_x000B_uÂâ?_x0015_[ä_x0005_òæ?_x0016_¼ä_x0003_ö=ñ?)Àµ_x0017_?_x0010_@úºo×¯*@_x000E_­aÐ@_x001E__x0018_@ø_x0003_{¬KÛ?ÓÚp÷;_x0003_@_x0006_{6VU_x000D_@ìà1ì§_x001E_@Ó_x0004_Ù£²ð?¥_x0016__x0014__x0007_F_x0008_@k_x000C_lË_x0015_@â_x001E_þUåÞí?g_x0003_;E5_x0010_ø?ùJ XGÙæ?çx¨_x001C_Â¾_x0013_@_x0013_È6¯_x0019_@,ãùÍú?ÓvÿÅ_x001D_(_x001B_@É_x001C_,O_x0019_û @Äôc³6¼_x0001_@aO_x0017_¶õ{_x0004_@\¦hi_x0016__x0012_@_x0002__x0004__x0008_DMÌ¶_x0005_@Ð)£Õ	ïé?/u_x001B__x0011_bË8@*aªÃJ_x0001_@_x001A_Þ7&gt;Ö_x000E_@_x0007_s(À	@éq_x001B_ÙÄ´_x000B_@Bc-n_x0018_@/h_x0013_Ç_x0011_@ñµ9:P_x0011_@oþÿÚûËî?v¡`ÐO¬_x000F_@Å_x0006_1â#4ä?GÞ÷fË_x0003_@§p,ÕÛ_x000D_@1K6f¤^Ä?àP½¶¿ö?]Nf|ó9)@ÌM®¯Áÿ?T(ùÀB@ÇrEÈYÌû?39¦UgGô?·¹_x0003__x0007__@'@ÄÛ6Ðd9_x0013_@l__x0006_qVÑ?Ï7_x0013_@ØÊJò?:_x001D_t³?y_x0015_@i¿ìÚð?LcT_x001A_5_x0005_@3ô/voè?È¿¯}_x0001__x0006_°z_x0014_@:û	©Òö?|«´©Ó?¡iïÅÇ_x0002_@R¬_x0007_Uø?´ZRM_x001C_ô?ÔÒlU_x000C_@É%é&lt;3	#@m_x001F_ðÚÄ_x0012_@óê;G_x001F_ì?_x000F_	ÈKt_x000B_ñ?é\5hä¨Ù?\$Ôòâ·ý?w&gt;_x001F_·_x001D_0Ó?'-ÐöÎ_x0004_@_x001B_{ZÛ/_x0008__x001B_@vëç¬6@75kræ±û?}$&amp;__x0008_ú?óZÄäó?_x001A_ïaOLû?X_x000C_Ü&amp;ó?¤ko2Ô_x0003_@4,_x0007__x0008_·Ûû?!Mí?Þ¶#sÞ?Í¯®2¨_x0006_@/CcJr_x0015_'@_x0005_[Ð9y_x0017__x0019_@x¿¶ÔæÝ_x0005_@¹'é_x0011_¡ñ?³[Ds_x0013__x000D_@_x0002__x0005_aìî#_x001B_q_x0018_@íô¹«HÉ?«í½_x0014__x0013_@ñ.Ý*Rß;@¥Iàå|_x0006_@Ñý_x000D_´ö_x001F_@ï48³Ë_x0004_@_x0019_ºÐÚ?SØ_çí§ú?Q_x001F_¢_x000C_¬Àå?[!:,_x0015_@hß_x000E_Wð?_x001C__x0007_;!k_x0014_þ?Ð5_x001D_Ä]}#@KÙ_x0008_¤%èò?×Î§Õ_x0010__x0001_@.DIUØ?0ô_x0006_Ról+@ïf\\oó?ÂÃ9Ôf_x0014_@tÍ_x001C_°Ì_x000B_@à$f$d_x001C_@(ö;g!@c_x0016_k_x0001_0_x000E_@_x0013__x0003_ÙÃ_x0019_að?q©Áfü_x0004_@Ç _x001D_ÉOs_x001A_@­¼$PÛÂò?_x0001_f _x0012_uù?ª8\_x001C_I³ã?v{b&amp;Bÿ_x0006_@é¸_x0002__x0006_¶_x000C__x0010_@k_x001C_xü_x001C_á?´/uc,@¾Ï¯_x0007_è?*ÅÚó®_x0005_@Kû__x000C_-_x0007__x000C_@_x0010_9¹oõ_x0018_ÿ?à¢Ðú~ò_x0008_@íþv#_x0007__x0005_@ãË2%_x0015_9@_x0018_­6æ²_x0013_ð?ÑÊ¦5B_x0016_@²3_x0001_|Ð_x0019_@ZöÙj×^$@ýF_x0005__x001B_ç?_x0018_?,^_x0013_W_x000F_@×_x001E_¸ÿÝp_x0011_@_x001D_Çì#¯ @37Ò²a_x001A_@[Ð_x000D_t÷ë_x0004_@_x000B_úGt¶ç?`$Wdp'_x0003_@Ë¿Ü Eü÷?=³Õ_x0001__x0006_G	@¶­À_x0005_Ü.@ÍÞ?¹._x0006_@JµpKNb_x0010_@x	³ÐàÐ$@qcm_x0012_@î¨¦d_x0007_@_x0013_Bãý_x0011_@^aÍè1·_x0019_@_x0002__x0003_1uÌBX»ø?FõËàRõ)@8ÁÚ¬?(@Ëé¨_x0017__x0017_-@ÖØ8Å8&gt;C@=a½ïåï?_x0011_[á$ÆóÝ?þÄþ_x0019_"î?ø4&gt;t9êý?üZÜ¦$_x001F__x0011_@|Ç¨ºI_x0007_@_x0007_eó/ô?Íg¾©¿_x0015_@ÅÆÊÆ/Ü.@a²µ²Zi#@_x0018_Ç·©_x0012_q_x0006_@øÁd²Ùa_x0001_@ok´Ó«ö?(¡©Ìsû_x0013_@7¸S-§°_x001A_@f&gt;7Á_x001D__x001A_ç?Ä×_x0012_&lt;Ü_ü?¯Oé»&amp;ëö?	_x0017_]?ü?PÎ_x0007_e]ú?ä~6H¨*_x0011_@_x0003__x0002_~'ö?_x0001_LÚJ_x0005_ãù?ñîÚ&gt;ÝI_x001D_@Éïm_x0017__x001D_ @(@ºñó3_x0008_@·w#æ_x0007__x0008_zÍï?~!÷7Å$_x001F_@|_x0004_ë_x0003__x0017_!@xs®2ý³õ?K	ºù_x0004_Ç,@ÕË}_ÌF_x0001_@c/!]\_x0005_@mèhÙ_x0006_Ý_x0013_@u,=g_x001D_û?ñ_x001E_Ì¦J_x0016_@_x001B_¢uo:_x0018_@/Ç&lt;ã?·ú9ðß$	@âM_x0018_Ë;_x0002_@ÿÒ²_x000F_*_x000B_ÿ?÷_x0008_H¡_x0012_ä?S8_x000C_C#¯_x0004_@å¤s0_x0007_@à£_x001D_B6_x0017__x0015_@b ×ú©_x001B_@_x000B_DÓÕ_x001A_@_x000B_jý?5Ý'cB0@Þ_x0005_¢VÆ?dQÝvAé?_x0015_¹%1gà_x001E_@{k_x001B_XVñ?I-j&gt;Â÷?ÃÚ¢z_x000B_á0@*}I1/Zð?QÕ.ó_x0019_/@ù_x0004_kÊ¦_x0002_@_x0001__x0003_+Áþ|à³_x0018_@ªÈg®±õ_x001A_@ÎzR¤æ_x000C_@¾Ý°ngxù?Z_x000B_äÝ_x001A_,@áÕ3Ð"\æ?÷ÓC)!_x0016_@÷m_x001B__x0006_×¸_x0007_@7_x0006_Óh_x0016_@ÓV`á?õ3õY"@b1PÞ_x0004_@lß_x001D_]Âv_x0019_@ÕËªÂ_x000F_ü?¨¯»S&amp;@)3S¡õß?_x0002_0~ÇF	@ôaRÛzú?LäÔ$8ÿ?{_x0010_z2Aï?j]¦_x001F_å?Ó_x0001__x0001_ÛGÿ?¨ÌõûUÈ_x0003_@]û5ñg_x0014_@²ð`Áy_x0001_@_x000D_Øê_x0014_3·é?øqÃ,4@Ð¸m£²Ç?}_x001D_Ö_x001B_0@¨0TÙàá?ÎÛ¨F4oñ?IW]_x0001__x0003_À}å?JÑo=¤_x0010_@¶(ð_x000E_s?_x0017_@	ç®ßuVß?¨ñO¥pÄæ?_x000C_4ÕKl_x000F_@z)_x001A_o_x000B_6@.éÊQÔÚ_x0008_@_x000F_yÒ_x001B__x001C_@]n8Ë_x0005_ó?¾A2b7­_x0006_@¸A·ù?dâÂï_x0019_@þj_x0002_Ô-@ú©ú|¨ü?U×ÙorÉó?*_x000C_¸0_x0017_@Ù_x000D_¤@4#@Ay\;	·"@ÒôØiw_x0015_ï?Ë=Ýç¨å?_x0010_©UÈg2@@$_x000F_×Hl¹ï?ð:_x0013__x0017__x0004_?Ý?«p½æ_x0001_@nzÿæî?_x0013_Dí_x0012_²Ïú?_x0004_ßº¡³}ç?_x0010_b]g_x001D_@Êg_x0008_É_x000E_@_x0001_A¼_x0005_Îà?Ò"×_x001D_ïhñ?_x0007__x0008__x001C_y&lt;_x0016__x0011_@x= _x001D_@Ç_x0007_¾_x0019__x0019_^â?_x001A_Y¤u_x0006__x0010_G@Óÿ]C»ò?_x0010_¸P­W_x000B_@6Î]cà{_x001E_@ Á÷,í?àG @`ð_x000E_@u?¥I\Òê?ãäÆ_x0007_×|ø?³³5n p_x0004_@	9(³F__x0006_@¸_x001D_&gt;K}]ç?(@G8fé?ê¼_x000E_¬m_x000E_ó?n25æá?T:òYÑ_x001F_@fÁ6#qØ?àx`_x0006__x0014__x0006_@xIyfÜ?þâ_´)*@J5×k_x0001__x0003_@©mr]#«_x0011_@°0:'Þ3_x0004_@ò°mÝ¢4@U_x000B_ÒçØ_x0016_Ý?_x0005_!_x0016_3pîó?õiÜ°_x0002__x0016_@úNf6þ_x0007_@sñö	ö?çgÝ¾_x0001__x0008_Z_x0003_ô?:![hrð?`tòGn"@oH_x001C_.S1@ç´_x0014_Õù?ËÜrèX_x0018_@1H_x000B__x0018_;»þ?8Í­!X_x0003_@"*OÝûî?o_x001A_9_x001E_,4_x0010_@«nD_x000C_uÍ×?öwgDê(þ?Ü¼W(é,è?Úû«Ýöÿ?°7Nä_x0006_@å)g_x001B_@v¼õy%_x0006_Ü?#+Ëÿ?@ÿ_x0003_!«t!@îNì©Ô?çòv-Ùì_x0012_@ÐWÿ_x0011_¿ü?_x0014_!xãÈ&amp;@^ÕA7~I_x0002_@_x0007_î©ßðû?Ô|P_x001D_õøò?Pk£ñ¦ó?Ñ^_x000B__x001E_0]_x0005_@|_x000E_°_x0002_g_x0001_@us*_x0003_ _x0004_@	Ò{5QX_x0019_@Ú^­_x0019_&amp;W @_x0001__x0002_ny_x0015_ztþ?Þ¥ÿ³Ü¡_x0001_@_x001D_lÕD_x0005_@Ìé_x001F__x0016__x0012_\_x0006_@þ-*÷?Ñjð_x000F_@Z_x0007_ßDV_x000C_@õ_x001C_S-_x0014_Ëì?_x000B_1_x001A_)è^%@!l[dÊ_x0017_@\»B.ø?kÜbX@ú?®·?_x0018_¨È?VÇT_x000B_Y_x0010_@ØOêß,_x0007_@²»èä_x001B_p_x0010_@mÙ}Oò?ÃÌB;ÇU_x0013_@@vS_x0015_«ì?_x001A__x0002_la,×ê?¿CÉ(fïõ?ÿW¨F_x000F_ý?ÑãqH'm/@¹ØúÓeeû?MùË¨Ì4@j°¹4;¿_x0008_@_x0018_A3è6ß?_x0015__x0007_|qIé?õ_x000D_ônÀ/ì?_x000E__x0003_¥9½(@ùD_x0001_²õÑÒ?_x0012_+e_x0007_	~äð?ÍÜU¿Q_x000D_@Äh_x001C_"Vi_x0011_@_x0003_§á&gt;_x0006_@ùõ¤_x000C_ûð?ò _x000C__x001D_4çÿ?úÔà$ðý?OP_x0018_"ÍÔ_x0011_@Yä`½Ð#ú?\hÔ~BÚ?Ñy_x001A__x001C_¬¬ä?ï,_x0008_rõ:"@F,à(_x0001_í?_x0002_-Û_x001A_1@&lt;2¬ÛcÑë?¾bº:Zð?_x001E_ÜXÔE_x0017_@W)~­r+ñ?ªñøI®_x000D_@¨l£ù[å?æxbxB\÷?;°Æ"@_x0010_Ï15§+@¢øk_x0011_µ/_x001A_@¯AnëKä?M!MÒë&amp;_x0013_@ Pc_x000E_¶_x000E_@ø0T¸__x000C_@_x0002_£_x0015_1®Gâ?·_x0015_C_x001A_X_x0004_û?Â{ú0É_x001F__x000B_@1_x0005_Ë_x001B_zö?</t>
  </si>
  <si>
    <t>0137a6bbc954ded51d40b080996631440|1|52184|58260606f2f448c1a1e2be32e28cc844</t>
  </si>
  <si>
    <t>BETA(alpha2,alpha1)</t>
  </si>
  <si>
    <t>EXPO(b)</t>
  </si>
  <si>
    <t>GAMM(b,a)</t>
  </si>
  <si>
    <t>LOGN(m,s)</t>
  </si>
  <si>
    <t>POIS(l)</t>
  </si>
  <si>
    <t>TRIA(min,mode,max)</t>
  </si>
  <si>
    <t>UNIF(min,max)</t>
  </si>
  <si>
    <t>WEIB(b,a)</t>
  </si>
  <si>
    <t>DISC(c1,v1,c2, v2,  …. ,cN, vN)</t>
  </si>
  <si>
    <t>CONT(c1,v1,c2, v2,  …. ,cN, vN)</t>
  </si>
  <si>
    <t>Arena Distribution</t>
  </si>
  <si>
    <t>Arena</t>
  </si>
  <si>
    <t>NORM(m,s)</t>
  </si>
  <si>
    <t>BETA(2,1)</t>
  </si>
  <si>
    <t>CONT(0.2,1,0.4,5,0.9,7,1,10)</t>
  </si>
  <si>
    <t>DISC(0.2,1,0.4,5,0.9,7,1,10)</t>
  </si>
  <si>
    <t>ERLA(2,10)</t>
  </si>
  <si>
    <t>EXPO(10)</t>
  </si>
  <si>
    <t>GAMM(2,10)</t>
  </si>
  <si>
    <t>JOHN(-2,2,0,10)</t>
  </si>
  <si>
    <t>LOGN(15,10)</t>
  </si>
  <si>
    <t>NORM(0,10)</t>
  </si>
  <si>
    <t>POIS(1)</t>
  </si>
  <si>
    <t>TRIA(-10,0,10)</t>
  </si>
  <si>
    <t>UNIF(-10,10)</t>
  </si>
  <si>
    <t>WEIB(2,10)</t>
  </si>
  <si>
    <r>
      <t>JOHN(</t>
    </r>
    <r>
      <rPr>
        <i/>
        <sz val="12"/>
        <color rgb="FF000000"/>
        <rFont val="Symbol"/>
        <family val="1"/>
        <charset val="2"/>
      </rPr>
      <t>a</t>
    </r>
    <r>
      <rPr>
        <vertAlign val="subscript"/>
        <sz val="7"/>
        <color rgb="FF000000"/>
        <rFont val="Verdana"/>
        <family val="2"/>
      </rPr>
      <t>1</t>
    </r>
    <r>
      <rPr>
        <sz val="10"/>
        <color rgb="FF000000"/>
        <rFont val="Verdana"/>
        <family val="2"/>
      </rPr>
      <t>, </t>
    </r>
    <r>
      <rPr>
        <i/>
        <sz val="12"/>
        <color rgb="FF000000"/>
        <rFont val="Symbol"/>
        <family val="1"/>
        <charset val="2"/>
      </rPr>
      <t>a</t>
    </r>
    <r>
      <rPr>
        <vertAlign val="subscript"/>
        <sz val="7"/>
        <color rgb="FF000000"/>
        <rFont val="Verdana"/>
        <family val="2"/>
      </rPr>
      <t>2</t>
    </r>
    <r>
      <rPr>
        <sz val="10"/>
        <color rgb="FF000000"/>
        <rFont val="Verdana"/>
        <family val="2"/>
      </rPr>
      <t>, </t>
    </r>
    <r>
      <rPr>
        <i/>
        <sz val="12"/>
        <color rgb="FF000000"/>
        <rFont val="Symbol"/>
        <family val="1"/>
        <charset val="2"/>
      </rPr>
      <t>b</t>
    </r>
    <r>
      <rPr>
        <sz val="10"/>
        <color rgb="FF000000"/>
        <rFont val="Verdana"/>
        <family val="2"/>
      </rPr>
      <t>, </t>
    </r>
    <r>
      <rPr>
        <i/>
        <sz val="12"/>
        <color rgb="FF000000"/>
        <rFont val="Symbol"/>
        <family val="1"/>
        <charset val="2"/>
      </rPr>
      <t>g</t>
    </r>
    <r>
      <rPr>
        <sz val="10"/>
        <color rgb="FF000000"/>
        <rFont val="Verdana"/>
        <family val="2"/>
      </rPr>
      <t>)</t>
    </r>
  </si>
  <si>
    <t>ERLA(mean,k)</t>
  </si>
  <si>
    <t>Python(Scipy)</t>
    <phoneticPr fontId="8" type="noConversion"/>
  </si>
  <si>
    <t>beta ['a', 'b', 'loc', 'scale']</t>
  </si>
  <si>
    <t>erlang ['a', 'loc', 'scale']</t>
  </si>
  <si>
    <t>expon ['loc', 'scale']</t>
  </si>
  <si>
    <t>gamma ['a', 'loc', 'scale']</t>
  </si>
  <si>
    <t>weibull_min ['c', 'loc', 'scale']</t>
  </si>
  <si>
    <t>johnsonsu ['a', 'b', 'loc', 'scale']</t>
  </si>
  <si>
    <t>lognorm ['s', 'loc', 'scale']</t>
  </si>
  <si>
    <t>norm ['loc', 'scale']</t>
  </si>
  <si>
    <t>triang ['c', 'loc', 'scale']</t>
  </si>
  <si>
    <t>uniform ['loc', 'scale']</t>
  </si>
  <si>
    <t>Random.Exponential(mean)</t>
    <phoneticPr fontId="8" type="noConversion"/>
  </si>
  <si>
    <t>Random.Gamma(shape, scale)</t>
    <phoneticPr fontId="8" type="noConversion"/>
  </si>
  <si>
    <t>Random.Weibull(shape, scale)</t>
    <phoneticPr fontId="8" type="noConversion"/>
  </si>
  <si>
    <t>Random.LogNormal(normalMean, normalStdDev)</t>
    <phoneticPr fontId="8" type="noConversion"/>
  </si>
  <si>
    <t>LOGN(5,2)</t>
    <phoneticPr fontId="8" type="noConversion"/>
  </si>
  <si>
    <t>Random.Normal(mean, standard deviation)</t>
    <phoneticPr fontId="8" type="noConversion"/>
  </si>
  <si>
    <t>Random.Triangular(minimum, mode, maximum)</t>
    <phoneticPr fontId="8" type="noConversion"/>
  </si>
  <si>
    <t>Random.Uniform(minimum, maximum)</t>
    <phoneticPr fontId="8" type="noConversion"/>
  </si>
  <si>
    <t>Random.Poisson(mean)</t>
    <phoneticPr fontId="8" type="noConversion"/>
  </si>
  <si>
    <t xml:space="preserve">Random.Erlang(mean, K) </t>
    <phoneticPr fontId="8" type="noConversion"/>
  </si>
  <si>
    <t>Random.JohnsonSU(alpha1, alpha2, location, scale)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</si>
</sst>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theme="1"/>
      <name val="新細明體"/>
      <family val="2"/>
      <scheme val="minor"/>
    </font>
    <font>
      <sz val="10"/>
      <color rgb="FF000000"/>
      <name val="Verdana"/>
      <family val="2"/>
    </font>
    <font>
      <vertAlign val="subscript"/>
      <sz val="10"/>
      <color theme="1"/>
      <name val="新細明體"/>
      <family val="2"/>
      <scheme val="minor"/>
    </font>
    <font>
      <i/>
      <sz val="12"/>
      <color rgb="FF000000"/>
      <name val="Symbol"/>
      <family val="1"/>
      <charset val="2"/>
    </font>
    <font>
      <vertAlign val="subscript"/>
      <sz val="7"/>
      <color rgb="FF000000"/>
      <name val="Verdana"/>
      <family val="2"/>
    </font>
    <font>
      <sz val="10"/>
      <color theme="1"/>
      <name val="Symbol"/>
      <family val="1"/>
      <charset val="2"/>
    </font>
    <font>
      <b/>
      <sz val="10"/>
      <color theme="1"/>
      <name val="新細明體"/>
      <family val="2"/>
      <scheme val="minor"/>
    </font>
    <font>
      <sz val="10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applyFont="1"/>
    <xf numFmtId="0" fontId="0" fillId="0" borderId="1" xfId="0" applyFont="1" applyBorder="1"/>
    <xf numFmtId="0" fontId="5" fillId="0" borderId="1" xfId="0" applyFont="1" applyBorder="1"/>
    <xf numFmtId="0" fontId="0" fillId="0" borderId="1" xfId="0" applyBorder="1"/>
    <xf numFmtId="0" fontId="1" fillId="0" borderId="1" xfId="0" applyFont="1" applyBorder="1"/>
    <xf numFmtId="0" fontId="6" fillId="0" borderId="1" xfId="0" applyFont="1" applyBorder="1"/>
    <xf numFmtId="0" fontId="1" fillId="2" borderId="1" xfId="0" applyFont="1" applyFill="1" applyBorder="1"/>
    <xf numFmtId="0" fontId="0" fillId="0" borderId="1" xfId="0" quotePrefix="1" applyFont="1" applyBorder="1"/>
  </cellXfs>
  <cellStyles count="2">
    <cellStyle name="Normal 2" xfId="1" xr:uid="{00000000-0005-0000-0000-000000000000}"/>
    <cellStyle name="一般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1138819</xdr:colOff>
      <xdr:row>1</xdr:row>
      <xdr:rowOff>12080</xdr:rowOff>
    </xdr:from>
    <xdr:ext cx="65" cy="18787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C9D28AA-62C8-466B-AAE5-A1604E01B33A}"/>
            </a:ext>
          </a:extLst>
        </xdr:cNvPr>
        <xdr:cNvSpPr txBox="1"/>
      </xdr:nvSpPr>
      <xdr:spPr>
        <a:xfrm>
          <a:off x="7062904" y="174702"/>
          <a:ext cx="6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200" b="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1138819</xdr:colOff>
      <xdr:row>1</xdr:row>
      <xdr:rowOff>12080</xdr:rowOff>
    </xdr:from>
    <xdr:ext cx="65" cy="18787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06E2DB-3341-4938-A1A0-5269E992D077}"/>
            </a:ext>
          </a:extLst>
        </xdr:cNvPr>
        <xdr:cNvSpPr txBox="1"/>
      </xdr:nvSpPr>
      <xdr:spPr>
        <a:xfrm>
          <a:off x="6158494" y="193055"/>
          <a:ext cx="6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200" b="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recon.info\shares\ZAPTA\Projects\Projects\111308%20%20%20PIP%20Study%20for%20Port%20of%20Mombasa\03%20PRJ%20Del\5%20SURVEYS\Master%20Data%20Sheets\Paper%20Based\MASTER%20Scanner%20%2001.07.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an Queue"/>
      <sheetName val="Scanner"/>
      <sheetName val="DELAY LOG"/>
      <sheetName val="ALL"/>
      <sheetName val="Summary"/>
      <sheetName val="_@RISKFitInformation"/>
      <sheetName val="Distribution"/>
    </sheetNames>
    <sheetDataSet>
      <sheetData sheetId="0"/>
      <sheetData sheetId="1"/>
      <sheetData sheetId="2"/>
      <sheetData sheetId="3"/>
      <sheetData sheetId="4"/>
      <sheetData sheetId="5"/>
      <sheetData sheetId="6">
        <row r="703">
          <cell r="E703">
            <v>2.6826045938260523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11"/>
  <sheetViews>
    <sheetView workbookViewId="0"/>
  </sheetViews>
  <sheetFormatPr defaultRowHeight="14.25" x14ac:dyDescent="0.25"/>
  <sheetData>
    <row r="1" spans="1:48" x14ac:dyDescent="0.25">
      <c r="A1">
        <v>1</v>
      </c>
      <c r="B1">
        <v>0</v>
      </c>
    </row>
    <row r="2" spans="1:48" x14ac:dyDescent="0.25">
      <c r="A2">
        <v>0</v>
      </c>
    </row>
    <row r="3" spans="1:48" x14ac:dyDescent="0.25">
      <c r="A3">
        <f>[1]Distribution!$E$703</f>
        <v>2.6826045938260523</v>
      </c>
      <c r="B3" t="b">
        <v>0</v>
      </c>
      <c r="C3">
        <v>1</v>
      </c>
      <c r="D3">
        <v>1</v>
      </c>
      <c r="E3" t="s">
        <v>42</v>
      </c>
      <c r="F3">
        <v>2</v>
      </c>
      <c r="G3">
        <v>0</v>
      </c>
      <c r="H3">
        <v>0</v>
      </c>
      <c r="AG3">
        <f>[1]Distribution!$E$703</f>
        <v>2.6826045938260523</v>
      </c>
      <c r="AH3">
        <v>5</v>
      </c>
      <c r="AI3">
        <v>1</v>
      </c>
      <c r="AJ3" t="b">
        <v>0</v>
      </c>
      <c r="AK3" t="b">
        <v>0</v>
      </c>
      <c r="AL3">
        <v>1</v>
      </c>
      <c r="AM3" t="b">
        <v>0</v>
      </c>
      <c r="AN3" t="e">
        <f>_</f>
        <v>#NAME?</v>
      </c>
      <c r="AO3">
        <f>[1]Distribution!$E$703</f>
        <v>2.6826045938260523</v>
      </c>
      <c r="AP3">
        <v>0</v>
      </c>
      <c r="AQ3">
        <v>1</v>
      </c>
      <c r="AR3" t="b">
        <v>1</v>
      </c>
      <c r="AS3" t="b">
        <v>0</v>
      </c>
      <c r="AT3">
        <v>1</v>
      </c>
      <c r="AU3" t="b">
        <v>1</v>
      </c>
      <c r="AV3" t="e">
        <f ca="1">_RiskExpon(3.2682,_xll.RiskName("Process Time (Pure)"))</f>
        <v>#NAME?</v>
      </c>
    </row>
    <row r="4" spans="1:48" x14ac:dyDescent="0.25">
      <c r="A4">
        <v>0</v>
      </c>
    </row>
    <row r="5" spans="1:48" x14ac:dyDescent="0.25">
      <c r="A5" t="b">
        <v>0</v>
      </c>
      <c r="B5">
        <v>13440</v>
      </c>
      <c r="C5">
        <v>6215</v>
      </c>
      <c r="D5">
        <v>34560</v>
      </c>
      <c r="E5">
        <v>100</v>
      </c>
    </row>
    <row r="6" spans="1:48" x14ac:dyDescent="0.25">
      <c r="A6" t="b">
        <v>0</v>
      </c>
      <c r="B6">
        <v>13440</v>
      </c>
      <c r="C6">
        <v>6215</v>
      </c>
      <c r="D6">
        <v>34560</v>
      </c>
      <c r="E6">
        <v>500</v>
      </c>
    </row>
    <row r="7" spans="1:48" x14ac:dyDescent="0.25">
      <c r="A7" t="b">
        <v>0</v>
      </c>
      <c r="B7">
        <v>13440</v>
      </c>
      <c r="C7">
        <v>6215</v>
      </c>
      <c r="D7">
        <v>34560</v>
      </c>
      <c r="E7">
        <v>1000</v>
      </c>
    </row>
    <row r="8" spans="1:48" x14ac:dyDescent="0.25">
      <c r="A8" t="b">
        <v>0</v>
      </c>
      <c r="B8">
        <v>13440</v>
      </c>
      <c r="C8">
        <v>6215</v>
      </c>
      <c r="D8">
        <v>34560</v>
      </c>
      <c r="E8">
        <v>1500</v>
      </c>
    </row>
    <row r="9" spans="1:48" x14ac:dyDescent="0.25">
      <c r="A9" t="b">
        <v>0</v>
      </c>
      <c r="B9">
        <v>13440</v>
      </c>
      <c r="C9">
        <v>6215</v>
      </c>
      <c r="D9">
        <v>34560</v>
      </c>
      <c r="E9">
        <v>2000</v>
      </c>
    </row>
    <row r="10" spans="1:48" x14ac:dyDescent="0.25">
      <c r="A10">
        <v>0</v>
      </c>
    </row>
    <row r="11" spans="1:48" x14ac:dyDescent="0.25">
      <c r="A11">
        <v>0</v>
      </c>
      <c r="B11" t="b">
        <v>0</v>
      </c>
      <c r="C11" t="b">
        <v>0</v>
      </c>
      <c r="D11">
        <v>10</v>
      </c>
      <c r="E11">
        <v>0.95</v>
      </c>
      <c r="F11">
        <v>1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"/>
  <sheetViews>
    <sheetView workbookViewId="0"/>
  </sheetViews>
  <sheetFormatPr defaultRowHeight="14.25" x14ac:dyDescent="0.25"/>
  <sheetData>
    <row r="1" spans="1:3" x14ac:dyDescent="0.25">
      <c r="A1" s="1" t="s">
        <v>45</v>
      </c>
      <c r="B1" s="1" t="s">
        <v>44</v>
      </c>
      <c r="C1" s="1" t="s">
        <v>41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30"/>
  <sheetViews>
    <sheetView zoomScaleNormal="100" workbookViewId="0">
      <selection activeCell="C2" sqref="C2:F2"/>
    </sheetView>
  </sheetViews>
  <sheetFormatPr defaultRowHeight="14.25" x14ac:dyDescent="0.25"/>
  <cols>
    <col min="1" max="1" width="18.33203125" customWidth="1"/>
    <col min="2" max="2" width="27.6640625" bestFit="1" customWidth="1"/>
    <col min="3" max="3" width="41.83203125" customWidth="1"/>
    <col min="4" max="4" width="39.83203125" bestFit="1" customWidth="1"/>
    <col min="5" max="5" width="35.5" customWidth="1"/>
    <col min="6" max="6" width="27.33203125" customWidth="1"/>
    <col min="7" max="7" width="44.5" bestFit="1" customWidth="1"/>
    <col min="8" max="8" width="50.5" customWidth="1"/>
  </cols>
  <sheetData>
    <row r="1" spans="1:7" x14ac:dyDescent="0.25">
      <c r="A1" s="7" t="s">
        <v>12</v>
      </c>
      <c r="B1" s="7" t="s">
        <v>43</v>
      </c>
      <c r="C1" s="7" t="s">
        <v>6</v>
      </c>
      <c r="D1" s="7" t="s">
        <v>57</v>
      </c>
      <c r="E1" s="7" t="s">
        <v>37</v>
      </c>
      <c r="F1" s="7" t="s">
        <v>56</v>
      </c>
      <c r="G1" s="7" t="s">
        <v>40</v>
      </c>
    </row>
    <row r="2" spans="1:7" x14ac:dyDescent="0.25">
      <c r="A2" s="3" t="s">
        <v>14</v>
      </c>
      <c r="B2" s="3" t="str">
        <f>MID(C2,FIND(".",C2)+1,FIND("(",C2)-FIND(".",C2)-1)</f>
        <v>Beta</v>
      </c>
      <c r="C2" s="3" t="s">
        <v>0</v>
      </c>
      <c r="D2" s="6" t="s">
        <v>46</v>
      </c>
      <c r="E2" s="3" t="s">
        <v>39</v>
      </c>
      <c r="F2" s="3" t="s">
        <v>59</v>
      </c>
      <c r="G2" s="3" t="str" cm="1">
        <f t="array" ref="G2">ConvertFromArenaToSimio(F2)</f>
        <v>Random.Beta(1,2)</v>
      </c>
    </row>
    <row r="3" spans="1:7" ht="15.75" x14ac:dyDescent="0.3">
      <c r="A3" s="3" t="s">
        <v>14</v>
      </c>
      <c r="B3" s="3" t="str">
        <f t="shared" ref="B3:B14" si="0">MID(C3,FIND(".",C3)+1,FIND("(",C3)-FIND(".",C3)-1)</f>
        <v>Continuous</v>
      </c>
      <c r="C3" s="3" t="s">
        <v>15</v>
      </c>
      <c r="D3" s="6" t="s">
        <v>55</v>
      </c>
      <c r="E3" s="3" t="s">
        <v>39</v>
      </c>
      <c r="F3" s="3" t="s">
        <v>60</v>
      </c>
      <c r="G3" s="3" t="str" cm="1">
        <f t="array" ref="G3">ConvertFromArenaToSimio(F3)</f>
        <v>Random.Continuous(1,0.2,5,0.4,7,0.9,10,1)</v>
      </c>
    </row>
    <row r="4" spans="1:7" ht="15.75" x14ac:dyDescent="0.3">
      <c r="A4" s="3" t="s">
        <v>13</v>
      </c>
      <c r="B4" s="3" t="str">
        <f t="shared" si="0"/>
        <v>Discrete</v>
      </c>
      <c r="C4" s="3" t="s">
        <v>16</v>
      </c>
      <c r="D4" s="8" t="s">
        <v>54</v>
      </c>
      <c r="E4" s="3" t="s">
        <v>39</v>
      </c>
      <c r="F4" s="9" t="s">
        <v>61</v>
      </c>
      <c r="G4" s="3" t="str" cm="1">
        <f t="array" ref="G4">ConvertFromArenaToSimio(F4)</f>
        <v>Random.Discrete(1,0.2,5,0.4,7,0.9,10,1)</v>
      </c>
    </row>
    <row r="5" spans="1:7" x14ac:dyDescent="0.25">
      <c r="A5" s="3" t="s">
        <v>14</v>
      </c>
      <c r="B5" s="3" t="str">
        <f t="shared" si="0"/>
        <v>Erlang</v>
      </c>
      <c r="C5" s="3" t="s">
        <v>1</v>
      </c>
      <c r="D5" s="8" t="s">
        <v>73</v>
      </c>
      <c r="E5" s="3" t="s">
        <v>38</v>
      </c>
      <c r="F5" s="3" t="s">
        <v>62</v>
      </c>
      <c r="G5" s="3" t="str" cm="1">
        <f t="array" ref="G5">ConvertFromArenaToSimio(F5)</f>
        <v>Random.Erlang(2,10)</v>
      </c>
    </row>
    <row r="6" spans="1:7" x14ac:dyDescent="0.25">
      <c r="A6" s="3" t="s">
        <v>14</v>
      </c>
      <c r="B6" s="3" t="str">
        <f t="shared" si="0"/>
        <v>Exponential</v>
      </c>
      <c r="C6" s="3" t="s">
        <v>2</v>
      </c>
      <c r="D6" s="6" t="s">
        <v>47</v>
      </c>
      <c r="E6" s="3" t="s">
        <v>38</v>
      </c>
      <c r="F6" s="3" t="s">
        <v>63</v>
      </c>
      <c r="G6" s="3" t="str" cm="1">
        <f t="array" ref="G6">ConvertFromArenaToSimio(F6)</f>
        <v>Random.Exponential(10)</v>
      </c>
    </row>
    <row r="7" spans="1:7" x14ac:dyDescent="0.25">
      <c r="A7" s="3" t="s">
        <v>14</v>
      </c>
      <c r="B7" s="3" t="str">
        <f t="shared" si="0"/>
        <v>Gamma</v>
      </c>
      <c r="C7" s="3" t="s">
        <v>3</v>
      </c>
      <c r="D7" s="8" t="s">
        <v>48</v>
      </c>
      <c r="E7" s="3" t="s">
        <v>39</v>
      </c>
      <c r="F7" s="3" t="s">
        <v>64</v>
      </c>
      <c r="G7" s="3" t="str" cm="1">
        <f t="array" ref="G7">ConvertFromArenaToSimio(F7)</f>
        <v>Random.Gamma(10,2)</v>
      </c>
    </row>
    <row r="8" spans="1:7" ht="15.75" x14ac:dyDescent="0.25">
      <c r="A8" s="3" t="s">
        <v>14</v>
      </c>
      <c r="B8" s="3" t="str">
        <f t="shared" si="0"/>
        <v>JohnsonSU</v>
      </c>
      <c r="C8" s="3" t="s">
        <v>4</v>
      </c>
      <c r="D8" s="6" t="s">
        <v>72</v>
      </c>
      <c r="E8" s="3" t="s">
        <v>39</v>
      </c>
      <c r="F8" s="3" t="s">
        <v>65</v>
      </c>
      <c r="G8" s="3" t="str" cm="1">
        <f t="array" ref="G8">ConvertFromArenaToSimio(F8)</f>
        <v>Random.JohnsonSU(-2,2,10,0)</v>
      </c>
    </row>
    <row r="9" spans="1:7" x14ac:dyDescent="0.25">
      <c r="A9" s="3" t="s">
        <v>14</v>
      </c>
      <c r="B9" s="3" t="str">
        <f t="shared" si="0"/>
        <v>LogNormal</v>
      </c>
      <c r="C9" s="3" t="s">
        <v>5</v>
      </c>
      <c r="D9" s="6" t="s">
        <v>49</v>
      </c>
      <c r="E9" s="3" t="s">
        <v>39</v>
      </c>
      <c r="F9" s="3" t="s">
        <v>66</v>
      </c>
      <c r="G9" s="3" t="str" cm="1">
        <f t="array" ref="G9">ConvertFromArenaToSimio(F9)</f>
        <v>Random.Lognormal( 2.5242, .6064)</v>
      </c>
    </row>
    <row r="10" spans="1:7" x14ac:dyDescent="0.25">
      <c r="A10" s="3" t="s">
        <v>14</v>
      </c>
      <c r="B10" s="3" t="str">
        <f t="shared" si="0"/>
        <v>Normal</v>
      </c>
      <c r="C10" s="3" t="s">
        <v>7</v>
      </c>
      <c r="D10" s="6" t="s">
        <v>58</v>
      </c>
      <c r="E10" s="3" t="s">
        <v>38</v>
      </c>
      <c r="F10" s="9" t="s">
        <v>67</v>
      </c>
      <c r="G10" s="3" t="str" cm="1">
        <f t="array" ref="G10">ConvertFromArenaToSimio(F10)</f>
        <v>Random.Normal(0,10)</v>
      </c>
    </row>
    <row r="11" spans="1:7" x14ac:dyDescent="0.25">
      <c r="A11" s="3" t="s">
        <v>13</v>
      </c>
      <c r="B11" s="3" t="str">
        <f t="shared" si="0"/>
        <v>Poisson</v>
      </c>
      <c r="C11" s="3" t="s">
        <v>8</v>
      </c>
      <c r="D11" s="6" t="s">
        <v>50</v>
      </c>
      <c r="E11" s="3" t="s">
        <v>38</v>
      </c>
      <c r="F11" s="3" t="s">
        <v>68</v>
      </c>
      <c r="G11" s="3" t="str" cm="1">
        <f t="array" ref="G11">ConvertFromArenaToSimio(F11)</f>
        <v>Random.Poisson(1)</v>
      </c>
    </row>
    <row r="12" spans="1:7" x14ac:dyDescent="0.25">
      <c r="A12" s="3" t="s">
        <v>14</v>
      </c>
      <c r="B12" s="3" t="str">
        <f t="shared" si="0"/>
        <v>Triangular</v>
      </c>
      <c r="C12" s="3" t="s">
        <v>9</v>
      </c>
      <c r="D12" s="6" t="s">
        <v>51</v>
      </c>
      <c r="E12" s="3" t="s">
        <v>38</v>
      </c>
      <c r="F12" s="3" t="s">
        <v>69</v>
      </c>
      <c r="G12" s="3" t="str" cm="1">
        <f t="array" ref="G12">ConvertFromArenaToSimio(F12)</f>
        <v>Random.Triangular(-10,0,10)</v>
      </c>
    </row>
    <row r="13" spans="1:7" x14ac:dyDescent="0.25">
      <c r="A13" s="3" t="s">
        <v>14</v>
      </c>
      <c r="B13" s="3" t="str">
        <f t="shared" si="0"/>
        <v>Uniform</v>
      </c>
      <c r="C13" s="3" t="s">
        <v>10</v>
      </c>
      <c r="D13" s="6" t="s">
        <v>52</v>
      </c>
      <c r="E13" s="3" t="s">
        <v>38</v>
      </c>
      <c r="F13" s="3" t="s">
        <v>70</v>
      </c>
      <c r="G13" s="3" t="str" cm="1">
        <f t="array" ref="G13">ConvertFromArenaToSimio(F13)</f>
        <v>Random.Uniform(-10,10)</v>
      </c>
    </row>
    <row r="14" spans="1:7" x14ac:dyDescent="0.25">
      <c r="A14" s="3" t="s">
        <v>14</v>
      </c>
      <c r="B14" s="3" t="str">
        <f t="shared" si="0"/>
        <v>Weibull</v>
      </c>
      <c r="C14" s="3" t="s">
        <v>11</v>
      </c>
      <c r="D14" s="8" t="s">
        <v>53</v>
      </c>
      <c r="E14" s="3" t="s">
        <v>39</v>
      </c>
      <c r="F14" s="3" t="s">
        <v>71</v>
      </c>
      <c r="G14" s="3" t="str" cm="1">
        <f t="array" ref="G14">ConvertFromArenaToSimio(F14)</f>
        <v>Random.Weibull(10,2)</v>
      </c>
    </row>
    <row r="17" spans="1:5" x14ac:dyDescent="0.25">
      <c r="A17" s="3" t="s">
        <v>18</v>
      </c>
      <c r="B17" s="3" t="s">
        <v>19</v>
      </c>
    </row>
    <row r="18" spans="1:5" x14ac:dyDescent="0.25">
      <c r="A18" s="4" t="s">
        <v>17</v>
      </c>
      <c r="B18" s="3" t="s">
        <v>20</v>
      </c>
    </row>
    <row r="19" spans="1:5" x14ac:dyDescent="0.25">
      <c r="A19" s="4" t="s">
        <v>23</v>
      </c>
      <c r="B19" s="3" t="s">
        <v>24</v>
      </c>
    </row>
    <row r="20" spans="1:5" x14ac:dyDescent="0.25">
      <c r="A20" s="4" t="s">
        <v>21</v>
      </c>
      <c r="B20" s="3" t="s">
        <v>25</v>
      </c>
    </row>
    <row r="21" spans="1:5" x14ac:dyDescent="0.25">
      <c r="A21" s="4" t="s">
        <v>22</v>
      </c>
      <c r="B21" s="3" t="s">
        <v>26</v>
      </c>
    </row>
    <row r="22" spans="1:5" x14ac:dyDescent="0.25">
      <c r="A22" s="4" t="s">
        <v>27</v>
      </c>
      <c r="B22" s="5" t="s">
        <v>28</v>
      </c>
    </row>
    <row r="23" spans="1:5" x14ac:dyDescent="0.25">
      <c r="A23" s="4" t="s">
        <v>30</v>
      </c>
      <c r="B23" s="5" t="s">
        <v>29</v>
      </c>
    </row>
    <row r="24" spans="1:5" x14ac:dyDescent="0.25">
      <c r="A24" s="3" t="s">
        <v>32</v>
      </c>
      <c r="B24" s="5" t="s">
        <v>31</v>
      </c>
    </row>
    <row r="25" spans="1:5" x14ac:dyDescent="0.25">
      <c r="A25" s="3" t="s">
        <v>34</v>
      </c>
      <c r="B25" s="5" t="s">
        <v>33</v>
      </c>
    </row>
    <row r="26" spans="1:5" x14ac:dyDescent="0.25">
      <c r="A26" s="3" t="s">
        <v>17</v>
      </c>
      <c r="B26" s="3" t="s">
        <v>35</v>
      </c>
    </row>
    <row r="27" spans="1:5" x14ac:dyDescent="0.25">
      <c r="A27" s="3" t="s">
        <v>23</v>
      </c>
      <c r="B27" s="5" t="s">
        <v>36</v>
      </c>
    </row>
    <row r="30" spans="1:5" x14ac:dyDescent="0.25">
      <c r="E30" s="2"/>
    </row>
  </sheetData>
  <phoneticPr fontId="8" type="noConversion"/>
  <conditionalFormatting sqref="E2:E14">
    <cfRule type="cellIs" dxfId="1" priority="1" operator="equal">
      <formula>"Yes"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73BB3-D65F-4A98-BC0F-DF7177394703}">
  <sheetPr codeName="Sheet5"/>
  <dimension ref="A1:H30"/>
  <sheetViews>
    <sheetView tabSelected="1" zoomScaleNormal="100" workbookViewId="0">
      <selection activeCell="C8" sqref="C8"/>
    </sheetView>
  </sheetViews>
  <sheetFormatPr defaultRowHeight="14.25" x14ac:dyDescent="0.25"/>
  <cols>
    <col min="1" max="1" width="18.33203125" customWidth="1"/>
    <col min="2" max="2" width="27.6640625" bestFit="1" customWidth="1"/>
    <col min="3" max="3" width="45.83203125" customWidth="1"/>
    <col min="4" max="4" width="41.83203125" customWidth="1"/>
    <col min="5" max="5" width="39.83203125" bestFit="1" customWidth="1"/>
    <col min="6" max="6" width="35.5" customWidth="1"/>
    <col min="7" max="7" width="27.33203125" customWidth="1"/>
    <col min="8" max="8" width="44.5" bestFit="1" customWidth="1"/>
    <col min="9" max="9" width="50.5" customWidth="1"/>
  </cols>
  <sheetData>
    <row r="1" spans="1:8" x14ac:dyDescent="0.25">
      <c r="A1" s="7" t="s">
        <v>12</v>
      </c>
      <c r="B1" s="7" t="s">
        <v>43</v>
      </c>
      <c r="C1" s="7" t="s">
        <v>6</v>
      </c>
      <c r="D1" s="7" t="s">
        <v>74</v>
      </c>
      <c r="E1" s="7" t="s">
        <v>57</v>
      </c>
      <c r="F1" s="7" t="s">
        <v>37</v>
      </c>
      <c r="G1" s="7" t="s">
        <v>56</v>
      </c>
      <c r="H1" s="7" t="s">
        <v>40</v>
      </c>
    </row>
    <row r="2" spans="1:8" x14ac:dyDescent="0.25">
      <c r="A2" s="3" t="s">
        <v>14</v>
      </c>
      <c r="B2" s="3" t="str">
        <f>MID(C2,FIND(".",C2)+1,FIND("(",C2)-FIND(".",C2)-1)</f>
        <v>Beta</v>
      </c>
      <c r="C2" s="3" t="s">
        <v>0</v>
      </c>
      <c r="D2" s="3" t="s">
        <v>75</v>
      </c>
      <c r="E2" s="6" t="s">
        <v>46</v>
      </c>
      <c r="F2" s="3" t="s">
        <v>39</v>
      </c>
      <c r="G2" s="3" t="s">
        <v>59</v>
      </c>
      <c r="H2" s="3" t="str" cm="1">
        <f t="array" ref="H2">ConvertFromArenaToSimio(G2)</f>
        <v>Random.Beta(1,2)</v>
      </c>
    </row>
    <row r="3" spans="1:8" ht="15.75" x14ac:dyDescent="0.3">
      <c r="A3" s="3" t="s">
        <v>14</v>
      </c>
      <c r="B3" s="3" t="str">
        <f t="shared" ref="B3:B14" si="0">MID(C3,FIND(".",C3)+1,FIND("(",C3)-FIND(".",C3)-1)</f>
        <v>Continuous</v>
      </c>
      <c r="C3" s="3" t="s">
        <v>15</v>
      </c>
      <c r="D3" s="3"/>
      <c r="E3" s="6" t="s">
        <v>55</v>
      </c>
      <c r="F3" s="3" t="s">
        <v>39</v>
      </c>
      <c r="G3" s="3" t="s">
        <v>60</v>
      </c>
      <c r="H3" s="3" t="str" cm="1">
        <f t="array" ref="H3">ConvertFromArenaToSimio(G3)</f>
        <v>Random.Continuous(1,0.2,5,0.4,7,0.9,10,1)</v>
      </c>
    </row>
    <row r="4" spans="1:8" ht="15.75" x14ac:dyDescent="0.3">
      <c r="A4" s="3" t="s">
        <v>13</v>
      </c>
      <c r="B4" s="3" t="str">
        <f t="shared" si="0"/>
        <v>Discrete</v>
      </c>
      <c r="C4" s="3" t="s">
        <v>16</v>
      </c>
      <c r="D4" s="3"/>
      <c r="E4" s="8" t="s">
        <v>54</v>
      </c>
      <c r="F4" s="3" t="s">
        <v>39</v>
      </c>
      <c r="G4" s="9" t="s">
        <v>61</v>
      </c>
      <c r="H4" s="3" t="str">
        <f>_xlfn.CONCAT(G4)</f>
        <v>DISC(0.2,1,0.4,5,0.9,7,1,10)</v>
      </c>
    </row>
    <row r="5" spans="1:8" x14ac:dyDescent="0.25">
      <c r="A5" s="3" t="s">
        <v>14</v>
      </c>
      <c r="B5" s="3" t="str">
        <f t="shared" si="0"/>
        <v>Erlang</v>
      </c>
      <c r="C5" s="3" t="s">
        <v>94</v>
      </c>
      <c r="D5" s="3" t="s">
        <v>76</v>
      </c>
      <c r="E5" s="8" t="s">
        <v>73</v>
      </c>
      <c r="F5" s="3" t="s">
        <v>38</v>
      </c>
      <c r="G5" s="3" t="s">
        <v>62</v>
      </c>
      <c r="H5" s="3" t="str" cm="1">
        <f t="array" ref="H5">ConvertFromArenaToSimio(G5)</f>
        <v>Random.Erlang(2,10)</v>
      </c>
    </row>
    <row r="6" spans="1:8" x14ac:dyDescent="0.25">
      <c r="A6" s="3" t="s">
        <v>14</v>
      </c>
      <c r="B6" s="3" t="str">
        <f t="shared" si="0"/>
        <v>Exponential</v>
      </c>
      <c r="C6" s="3" t="s">
        <v>85</v>
      </c>
      <c r="D6" s="3" t="s">
        <v>77</v>
      </c>
      <c r="E6" s="6" t="s">
        <v>47</v>
      </c>
      <c r="F6" s="3" t="s">
        <v>38</v>
      </c>
      <c r="G6" s="3" t="s">
        <v>63</v>
      </c>
      <c r="H6" s="3" t="str" cm="1">
        <f t="array" ref="H6">ConvertFromArenaToSimio(G6)</f>
        <v>Random.Exponential(10)</v>
      </c>
    </row>
    <row r="7" spans="1:8" x14ac:dyDescent="0.25">
      <c r="A7" s="3" t="s">
        <v>14</v>
      </c>
      <c r="B7" s="3" t="str">
        <f t="shared" si="0"/>
        <v>Gamma</v>
      </c>
      <c r="C7" s="3" t="s">
        <v>86</v>
      </c>
      <c r="D7" s="3" t="s">
        <v>78</v>
      </c>
      <c r="E7" s="8" t="s">
        <v>48</v>
      </c>
      <c r="F7" s="3" t="s">
        <v>39</v>
      </c>
      <c r="G7" s="3" t="s">
        <v>64</v>
      </c>
      <c r="H7" s="3" t="str" cm="1">
        <f t="array" ref="H7">ConvertFromArenaToSimio(G7)</f>
        <v>Random.Gamma(10,2)</v>
      </c>
    </row>
    <row r="8" spans="1:8" ht="15.75" x14ac:dyDescent="0.25">
      <c r="A8" s="3" t="s">
        <v>14</v>
      </c>
      <c r="B8" s="3" t="str">
        <f t="shared" si="0"/>
        <v>JohnsonSU</v>
      </c>
      <c r="C8" s="3" t="s">
        <v>95</v>
      </c>
      <c r="D8" s="3" t="s">
        <v>80</v>
      </c>
      <c r="E8" s="6" t="s">
        <v>72</v>
      </c>
      <c r="F8" s="3" t="s">
        <v>39</v>
      </c>
      <c r="G8" s="3" t="s">
        <v>65</v>
      </c>
      <c r="H8" s="3" t="str" cm="1">
        <f t="array" ref="H8">ConvertFromArenaToSimio(G8)</f>
        <v>Random.JohnsonSU(-2,2,10,0)</v>
      </c>
    </row>
    <row r="9" spans="1:8" x14ac:dyDescent="0.25">
      <c r="A9" s="3" t="s">
        <v>14</v>
      </c>
      <c r="B9" s="3" t="str">
        <f t="shared" si="0"/>
        <v>LogNormal</v>
      </c>
      <c r="C9" s="3" t="s">
        <v>88</v>
      </c>
      <c r="D9" s="3" t="s">
        <v>81</v>
      </c>
      <c r="E9" s="6" t="s">
        <v>49</v>
      </c>
      <c r="F9" s="3" t="s">
        <v>39</v>
      </c>
      <c r="G9" s="3" t="s">
        <v>89</v>
      </c>
      <c r="H9" s="3" t="str" cm="1">
        <f t="array" ref="H9">ConvertFromArenaToSimio(G9)</f>
        <v>Random.Lognormal( 1.5352, .3853)</v>
      </c>
    </row>
    <row r="10" spans="1:8" x14ac:dyDescent="0.25">
      <c r="A10" s="3" t="s">
        <v>14</v>
      </c>
      <c r="B10" s="3" t="str">
        <f t="shared" si="0"/>
        <v>Normal</v>
      </c>
      <c r="C10" s="3" t="s">
        <v>90</v>
      </c>
      <c r="D10" s="3" t="s">
        <v>82</v>
      </c>
      <c r="E10" s="6" t="s">
        <v>58</v>
      </c>
      <c r="F10" s="3" t="s">
        <v>38</v>
      </c>
      <c r="G10" s="9" t="s">
        <v>67</v>
      </c>
      <c r="H10" s="3" t="str" cm="1">
        <f t="array" ref="H10">ConvertFromArenaToSimio(G10)</f>
        <v>Random.Normal(0,10)</v>
      </c>
    </row>
    <row r="11" spans="1:8" x14ac:dyDescent="0.25">
      <c r="A11" s="3" t="s">
        <v>13</v>
      </c>
      <c r="B11" s="3" t="str">
        <f t="shared" si="0"/>
        <v>Poisson</v>
      </c>
      <c r="C11" s="3" t="s">
        <v>93</v>
      </c>
      <c r="D11" s="3"/>
      <c r="E11" s="6" t="s">
        <v>50</v>
      </c>
      <c r="F11" s="3" t="s">
        <v>38</v>
      </c>
      <c r="G11" s="3" t="s">
        <v>68</v>
      </c>
      <c r="H11" s="3" t="str" cm="1">
        <f t="array" ref="H11">ConvertFromArenaToSimio(G11)</f>
        <v>Random.Poisson(1)</v>
      </c>
    </row>
    <row r="12" spans="1:8" x14ac:dyDescent="0.25">
      <c r="A12" s="3" t="s">
        <v>14</v>
      </c>
      <c r="B12" s="3" t="str">
        <f t="shared" si="0"/>
        <v>Triangular</v>
      </c>
      <c r="C12" s="3" t="s">
        <v>91</v>
      </c>
      <c r="D12" s="3" t="s">
        <v>83</v>
      </c>
      <c r="E12" s="6" t="s">
        <v>51</v>
      </c>
      <c r="F12" s="3" t="s">
        <v>38</v>
      </c>
      <c r="G12" s="3" t="s">
        <v>69</v>
      </c>
      <c r="H12" s="3" t="str" cm="1">
        <f t="array" ref="H12">ConvertFromArenaToSimio(G12)</f>
        <v>Random.Triangular(-10,0,10)</v>
      </c>
    </row>
    <row r="13" spans="1:8" x14ac:dyDescent="0.25">
      <c r="A13" s="3" t="s">
        <v>14</v>
      </c>
      <c r="B13" s="3" t="str">
        <f t="shared" si="0"/>
        <v>Uniform</v>
      </c>
      <c r="C13" s="3" t="s">
        <v>92</v>
      </c>
      <c r="D13" s="3" t="s">
        <v>84</v>
      </c>
      <c r="E13" s="6" t="s">
        <v>52</v>
      </c>
      <c r="F13" s="3" t="s">
        <v>38</v>
      </c>
      <c r="G13" s="3" t="s">
        <v>70</v>
      </c>
      <c r="H13" s="3" t="str" cm="1">
        <f t="array" ref="H13">ConvertFromArenaToSimio(G13)</f>
        <v>Random.Uniform(-10,10)</v>
      </c>
    </row>
    <row r="14" spans="1:8" x14ac:dyDescent="0.25">
      <c r="A14" s="3" t="s">
        <v>14</v>
      </c>
      <c r="B14" s="3" t="str">
        <f t="shared" si="0"/>
        <v>Weibull</v>
      </c>
      <c r="C14" s="3" t="s">
        <v>87</v>
      </c>
      <c r="D14" s="3" t="s">
        <v>79</v>
      </c>
      <c r="E14" s="8" t="s">
        <v>53</v>
      </c>
      <c r="F14" s="3" t="s">
        <v>39</v>
      </c>
      <c r="G14" s="3" t="s">
        <v>71</v>
      </c>
      <c r="H14" s="3" t="str" cm="1">
        <f t="array" ref="H14">ConvertFromArenaToSimio(G14)</f>
        <v>Random.Weibull(10,2)</v>
      </c>
    </row>
    <row r="17" spans="1:6" x14ac:dyDescent="0.25">
      <c r="A17" s="3" t="s">
        <v>18</v>
      </c>
      <c r="B17" s="3" t="s">
        <v>19</v>
      </c>
    </row>
    <row r="18" spans="1:6" x14ac:dyDescent="0.25">
      <c r="A18" s="4" t="s">
        <v>17</v>
      </c>
      <c r="B18" s="3" t="s">
        <v>20</v>
      </c>
    </row>
    <row r="19" spans="1:6" x14ac:dyDescent="0.25">
      <c r="A19" s="4" t="s">
        <v>23</v>
      </c>
      <c r="B19" s="3" t="s">
        <v>24</v>
      </c>
    </row>
    <row r="20" spans="1:6" x14ac:dyDescent="0.25">
      <c r="A20" s="4" t="s">
        <v>21</v>
      </c>
      <c r="B20" s="3" t="s">
        <v>25</v>
      </c>
    </row>
    <row r="21" spans="1:6" x14ac:dyDescent="0.25">
      <c r="A21" s="4" t="s">
        <v>22</v>
      </c>
      <c r="B21" s="3" t="s">
        <v>26</v>
      </c>
    </row>
    <row r="22" spans="1:6" x14ac:dyDescent="0.25">
      <c r="A22" s="4" t="s">
        <v>27</v>
      </c>
      <c r="B22" s="5" t="s">
        <v>28</v>
      </c>
    </row>
    <row r="23" spans="1:6" x14ac:dyDescent="0.25">
      <c r="A23" s="4" t="s">
        <v>30</v>
      </c>
      <c r="B23" s="5" t="s">
        <v>29</v>
      </c>
    </row>
    <row r="24" spans="1:6" x14ac:dyDescent="0.25">
      <c r="A24" s="3" t="s">
        <v>32</v>
      </c>
      <c r="B24" s="5" t="s">
        <v>31</v>
      </c>
    </row>
    <row r="25" spans="1:6" x14ac:dyDescent="0.25">
      <c r="A25" s="3" t="s">
        <v>34</v>
      </c>
      <c r="B25" s="5" t="s">
        <v>33</v>
      </c>
    </row>
    <row r="26" spans="1:6" x14ac:dyDescent="0.25">
      <c r="A26" s="3" t="s">
        <v>17</v>
      </c>
      <c r="B26" s="3" t="s">
        <v>35</v>
      </c>
    </row>
    <row r="27" spans="1:6" x14ac:dyDescent="0.25">
      <c r="A27" s="3" t="s">
        <v>23</v>
      </c>
      <c r="B27" s="5" t="s">
        <v>36</v>
      </c>
    </row>
    <row r="30" spans="1:6" x14ac:dyDescent="0.25">
      <c r="F30" s="2"/>
    </row>
  </sheetData>
  <phoneticPr fontId="8" type="noConversion"/>
  <conditionalFormatting sqref="F2:F14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AA0AD43712054B9C57982743C4637A" ma:contentTypeVersion="9" ma:contentTypeDescription="Create a new document." ma:contentTypeScope="" ma:versionID="0d7be3c1d6027b4d401c5bbfe883fe63">
  <xsd:schema xmlns:xsd="http://www.w3.org/2001/XMLSchema" xmlns:xs="http://www.w3.org/2001/XMLSchema" xmlns:p="http://schemas.microsoft.com/office/2006/metadata/properties" xmlns:ns2="5464b49e-1421-4abd-b3ec-e6533d6d0d7c" targetNamespace="http://schemas.microsoft.com/office/2006/metadata/properties" ma:root="true" ma:fieldsID="495fc1364907e3bbb39e98b8aae206c7" ns2:_="">
    <xsd:import namespace="5464b49e-1421-4abd-b3ec-e6533d6d0d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64b49e-1421-4abd-b3ec-e6533d6d0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F27BB8B-01BA-49FC-8FB2-FD7F929A2A1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1B2D17-7BB7-4B00-A993-496FF4F158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64b49e-1421-4abd-b3ec-e6533d6d0d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1F2F45D-CBBD-4D38-9A8A-7897D30A68B4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464b49e-1421-4abd-b3ec-e6533d6d0d7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RiskSerializationData</vt:lpstr>
      <vt:lpstr>rsklibSimData</vt:lpstr>
      <vt:lpstr>ArenaSimio</vt:lpstr>
      <vt:lpstr>ArenaSimio vs Scipy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Willem Daling</dc:creator>
  <cp:lastModifiedBy>張翊翔</cp:lastModifiedBy>
  <dcterms:created xsi:type="dcterms:W3CDTF">2015-07-02T11:56:38Z</dcterms:created>
  <dcterms:modified xsi:type="dcterms:W3CDTF">2021-06-29T08:14:46Z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0x01010001AA0AD43712054B9C57982743C4637A</vt:lpwstr>
  </property>
</Properties>
</file>